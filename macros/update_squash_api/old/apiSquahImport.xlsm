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renier\Documents\Squash Segur\src.github\squash-plugin\macros\update_squash_api\"/>
    </mc:Choice>
  </mc:AlternateContent>
  <xr:revisionPtr revIDLastSave="0" documentId="13_ncr:1_{647F1527-5CD1-4F4D-8EC2-662A2A5FC250}" xr6:coauthVersionLast="47" xr6:coauthVersionMax="47" xr10:uidLastSave="{00000000-0000-0000-0000-000000000000}"/>
  <bookViews>
    <workbookView xWindow="6252" yWindow="-16704" windowWidth="24792" windowHeight="10728" xr2:uid="{5480F5B5-F2BA-4169-9CE3-F25682173FA5}"/>
  </bookViews>
  <sheets>
    <sheet name="MAIN" sheetId="1" r:id="rId1"/>
    <sheet name="errors" sheetId="6" r:id="rId2"/>
    <sheet name="input_data" sheetId="5" r:id="rId3"/>
    <sheet name="errors2" sheetId="2" r:id="rId4"/>
  </sheets>
  <functionGroups builtInGroupCount="19"/>
  <definedNames>
    <definedName name="_xlnm._FilterDatabase" localSheetId="3" hidden="1">errors2!$A$1:$C$46</definedName>
    <definedName name="DonnéesExternes_1" localSheetId="2" hidden="1">input_data!$A$1:$J$29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07" i="6" l="1" a="1"/>
  <c r="E207" i="6" s="1"/>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 i="6"/>
  <c r="E3" i="6"/>
  <c r="E4" i="6"/>
  <c r="E5" i="6"/>
  <c r="E6" i="6"/>
  <c r="E7" i="6"/>
  <c r="E8" i="6"/>
  <c r="E1" i="6"/>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3" i="2"/>
  <c r="C4" i="2"/>
  <c r="C5" i="2"/>
  <c r="C6" i="2"/>
  <c r="C7" i="2"/>
  <c r="C8" i="2"/>
  <c r="C9" i="2"/>
  <c r="C10" i="2"/>
  <c r="C11" i="2"/>
  <c r="C12" i="2"/>
  <c r="C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03B859-99FE-4F2C-8F58-0C7BF19BA6CD}" keepAlive="1" name="Requête - input_file" description="Connexion à la requête « input_file » dans le classeur." type="5" refreshedVersion="0" background="1">
    <dbPr connection="Provider=Microsoft.Mashup.OleDb.1;Data Source=$Workbook$;Location=input_file;Extended Properties=&quot;&quot;" command="SELECT * FROM [input_file]"/>
  </connection>
  <connection id="2" xr16:uid="{CFF73249-A078-49A1-8FCE-C43A8BC53F78}" keepAlive="1" name="Requête - input_tab" description="Connexion à la requête « input_tab » dans le classeur." type="5" refreshedVersion="0" background="1">
    <dbPr connection="Provider=Microsoft.Mashup.OleDb.1;Data Source=$Workbook$;Location=input_tab;Extended Properties=&quot;&quot;" command="SELECT * FROM [input_tab]"/>
  </connection>
  <connection id="3" xr16:uid="{90C643D5-DE14-424F-92D4-9CF7E10D439C}" keepAlive="1" name="Requête - update_rem_sc" description="Connexion à la requête « update_rem_sc » dans le classeur." type="5" refreshedVersion="8" background="1" saveData="1">
    <dbPr connection="Provider=Microsoft.Mashup.OleDb.1;Data Source=$Workbook$;Location=update_rem_sc;Extended Properties=&quot;&quot;" command="SELECT * FROM [update_rem_sc]"/>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<sst xmlns="http://schemas.openxmlformats.org/spreadsheetml/2006/main" count="333" uniqueCount="174">
  <si>
    <t>input_file</t>
  </si>
  <si>
    <t>input_tab</t>
  </si>
  <si>
    <t>C:\Users\jrenier\Documents\Squash Segur\src.github\squash-plugin\macros\import_gsheet\import_gsheet.xlsx</t>
  </si>
  <si>
    <t>ACTION</t>
  </si>
  <si>
    <t>REQ_ID</t>
  </si>
  <si>
    <t>REQ_VERSION_REFERENCE</t>
  </si>
  <si>
    <t>REQ_VERSION_CUF_PROFIL</t>
  </si>
  <si>
    <t>REQ_VERSION_STATUS</t>
  </si>
  <si>
    <t>REQ_VERSION_CUF_COM_LAST_EVOL</t>
  </si>
  <si>
    <t>REQ_VERSION_DESCRIPTION</t>
  </si>
  <si>
    <t>REQ_VERSION_CUF_VERSION_IMPORT</t>
  </si>
  <si>
    <t>U</t>
  </si>
  <si>
    <t>APPROVED</t>
  </si>
  <si>
    <t/>
  </si>
  <si>
    <t>REQ_VERSION_CUF_NOTE_INTERNE</t>
  </si>
  <si>
    <t>CDA/DD.05 : ok après modification du status</t>
  </si>
  <si>
    <t>CDA/INT.08 : ok après modification du status</t>
  </si>
  <si>
    <t>CDA/DD.04 : ok après modification du status</t>
  </si>
  <si>
    <t>DMP/HISTO.06 : ok après modification du status</t>
  </si>
  <si>
    <t>DMP/HISTO.01 : ok après modification du status</t>
  </si>
  <si>
    <t>CDA/DD.08 : ok après modification du status</t>
  </si>
  <si>
    <t>ORDN/CONF.01 : ok après modification du status</t>
  </si>
  <si>
    <t>DMP/PSC.01 : ok après modification du status</t>
  </si>
  <si>
    <t>DMP/CONF.09 : ok après modification du status</t>
  </si>
  <si>
    <t>DMP/ALI/PROG.02 : ok après modification du status</t>
  </si>
  <si>
    <t>DMP/ALI/PROG.05 : ok après modification du status</t>
  </si>
  <si>
    <t>DMP/ALI/PROG.06 : ok après modification du status</t>
  </si>
  <si>
    <t>DMP/ALI/PROG.07 : ok après modification du status</t>
  </si>
  <si>
    <t>DMP/HISTO.08 : ok après modification du status</t>
  </si>
  <si>
    <t>DMP/UX.06 : ok après modification du status</t>
  </si>
  <si>
    <t>DMP/UX.17 : ok après modification du status</t>
  </si>
  <si>
    <t>MSS/UX.39 : ok après modification du status</t>
  </si>
  <si>
    <t>ORDN/CONF.02 : ok après modification du status</t>
  </si>
  <si>
    <t>ORDN/CONF.04 : ok après modification du status</t>
  </si>
  <si>
    <t>zfzf</t>
  </si>
  <si>
    <t>DMP/CONF.03 : ok après modification du status</t>
  </si>
  <si>
    <t>DMP/CONF.06 : ok après modification du status</t>
  </si>
  <si>
    <t>DMP/UX.49 : ok après modification du status</t>
  </si>
  <si>
    <t>MSS/CONF.21 : ok après modification du status</t>
  </si>
  <si>
    <t>SSI/IE.44 : ok après modification du status</t>
  </si>
  <si>
    <t>MSS/UX.38 : ERROR : modification impossible cause status peut être OBSOLETE. ( status demandé: APPROVED )</t>
  </si>
  <si>
    <t>MSS/UX.05 : ok après modification du status</t>
  </si>
  <si>
    <t>PSC.12 : ERROR : modification impossible cause status peut être OBSOLETE. ( status demandé: APPROVED )</t>
  </si>
  <si>
    <t>DB/DPI.04 : ok après modification du status</t>
  </si>
  <si>
    <t>DB/DPI.02 : ok après modification du status</t>
  </si>
  <si>
    <t>DB/DPI.03 : ok après modification du status</t>
  </si>
  <si>
    <t>DB/LGC.03 : ok après modification du status</t>
  </si>
  <si>
    <t>DB/LGC.02 : ok après modification du status</t>
  </si>
  <si>
    <t>DMP/CONF.08 : ok</t>
  </si>
  <si>
    <t>DMP/CONF.06 : ERROR : modification impossible cause status peut être OBSOLETE. ( status demandé: APPROVED )</t>
  </si>
  <si>
    <t>VACC/NOTE.03 : ok après modification du status</t>
  </si>
  <si>
    <t>MSS/CONF.07 : ok après modification du status</t>
  </si>
  <si>
    <t>DB/RIS.16 : ok après modification du status</t>
  </si>
  <si>
    <t>DB/RIS.14 : ok après modification du status</t>
  </si>
  <si>
    <t>DB/RIS.15 : ok après modification du status</t>
  </si>
  <si>
    <t>MSS/UX.19 : ok</t>
  </si>
  <si>
    <t>&lt;p&gt;Cette exigence a pour but de ne pas permettre l'intégration de documents déjà présents. &lt;br/&gt;
Réponse : cette exigence ne s'applique que s'il y a intégration du document du DMP. La question pourrait se poser hors périmètre vague 2, à voir s'il faudrait aussi l'appliquer en cas de migration d'un autre LGC. &lt;br/&gt;
Remarque : risque de doublon si la base de données du PS provient d'une migration d'un autre LGC.&lt;/p&gt;</t>
  </si>
  <si>
    <t>update_rem_sc</t>
  </si>
  <si>
    <t>Description_rem</t>
  </si>
  <si>
    <t>AAT/CONF.01</t>
  </si>
  <si>
    <t>&lt;p&gt;[TF MDV] Formulation à revoir par la TF en lien avec Emmanuel S (évoquer le CDA R2 N1) ?&lt;/p&gt;
&lt;p&gt;[08/12/2022 - Comité de Validation]  préciser le type de document utilisé pour le PDF &lt;br/&gt;
Préconisation ou obligatoire ?  &lt;/p&gt;
&lt;p&gt;[MMA 04/11/22] Périmètre vague 2 ?&lt;/p&gt;
&lt;p&gt;[CONFORMITE / 16/11/2022 : Constat : Telle que rédigée, la présente exigence semble relever davantage de la PRECONISATION ("PEUT"). De plus elle est liée à une exigence DBDrim qui a été passée au statut "OBSOLETE"&lt;/p&gt;
&lt;p&gt;Questions : à supprimer du Référentiel d'Exigences Socle va2 ? Ou fera bien à requalifier en "EXIGENCE" éventuellement ? ou à laisser en "PRECONISATION", qui ne fera pas l'objet de scenario de conformité)&lt;/p&gt;</t>
  </si>
  <si>
    <t>2402|picking</t>
  </si>
  <si>
    <t>CDA/DD.05</t>
  </si>
  <si>
    <t>Dans le cas où l’utilisateur visualise un document CDA stocké dans la fiche ou la demande d’examen d’un patient, le système DOIT rechercher si une nouvelle version du document existe dans le DMP et proposer le cas échéant à l’utilisateur de visualiser la nouvelle version du document et de garder la version antérieure.</t>
  </si>
  <si>
    <t>&lt;p&gt;Modification du terme dossier patient&lt;/p&gt;</t>
  </si>
  <si>
    <t>&lt;p&gt;Dans le cas où l’utilisateur visualise un document CDA stocké dans la fiche ou la demande d’examen d’un patient, le système DOIT rechercher si une nouvelle version du document existe dans le DMP et proposer le cas échéant à l’utilisateur de visualiser la nouvelle version du document et de garder la version antérieure.&lt;/p&gt;</t>
  </si>
  <si>
    <t>&lt;p&gt;[ECL 17/02] reformulation de l'exigence : ancien texte : Lorsque l'utilisateur accède au dossier du patient, sans action supplémentaire de sa part et sans bloquer l'interface utilisateur, le système DOIT informer l'utilisateur lorsqu'il existe, pour un document déjà intégré dans le dossier du patient depuis le DMP,  une version plus récente -(respectivement supprimée)- de ce document dans le DMP et le cas échéant permettre à l'utilisateur de visualier cette nouvelle version et de l'intégrer au dossier du patient en conservant la version antérieure (respectivement de supprimer ce document).&lt;br/&gt;
[ECL 8/02] Suite à la remarque HCL IT4 : Proposer à l'utilisateur de récupérer le document plus récent à chaque fois, peut être lourd d'u point de vu expérience utilisateur. Il serait intéressant que cela soit automatique automatique. =&gt; proposition d'afficher automatiquement la nouvelle version du document si elle est dans le DMP, exigence modifiée&lt;br/&gt;
[IT4 DPI Numeum ASINHPA] Attention, il faut que l'utilisateur soit préalablement authentifié en mode AIR ou que le DMP expose une API en appel indirecte sans authentification forte&lt;br/&gt;
[ IT4 BIO Dedalus 23/01/2023 ] Risque temps de traitements&lt;br/&gt;
[ IT4 DPI Berger Levrault 23/01/2023 ] Préciser les modalités de visbilité du DMP qui limiteraient l'accès à ces documents (droits du patient de limiter l'accès)&lt;br/&gt;
[ IT4 DPI Dedalus 23/01/2023 ] 02/01/2023 - Le scénario (MSS) ne correspond pas à la description de l'exigence (DMP). Cette exigence concerne t'elle TOUS les documents CDA stockés dans le DPI, ou seulement ceux importés du DMP ?&lt;br/&gt;
[ IT4 DPI HCL 23/01/2023 ] Proposer à l'utilisateur de récupérer le document plus récent à chaque fois, peut être lourd d'u point de vu expérience utilisateur. Il serait intéressant que cela soit automatique automatique.&lt;br/&gt;
L'exigence ne sera possible que sil'utilisateur est authentifié en mode AIR. &lt;br/&gt;
1/ permettre à un PS de ne pas mettre à jour un doc issu du DMP peut engendrer une vraie complexité (il faudrait conserver la trace de son refus de le mettre à jour pour changer le message lorsqu'il reconsultera ce même doc "ce doc existe dans une version plus récente mais vous avez choisi de ne pas le mettre à jour"&lt;br/&gt;
2/ que se passe-t-il si un PS ne souhaite pas mettre à jour la version mais qu'un autre PS lui la demande ?&lt;br/&gt;
3/ que se passe-t-il si la version du document issu du DMP et stocké dans le DPI est déprécié dans le DMP ?&lt;br/&gt;
[ IT4 DPI HM 23/01/2023 ] Ok&lt;br/&gt;
[ IT4 DPI Mediboard 23/01/2023 ] OK&lt;br/&gt;
[ IT4 LGC Aatlantide 23/01/2023 ] RAS&lt;br/&gt;
[ IT4 LGC CégédimSanté 23/01/2023 ] Cette exigence demanderait un stockage différent des métadonnées afin de pouvoir avoir une indexation des métadonnées -&gt; très lourd, compatibilité descendante à prévoir pour récupérer l'historique&lt;br/&gt;
[ IT4 LGC Doctolib 23/01/2023 ] RAS&lt;br/&gt;
[ IT4 LGC Tamn 23/01/2023 ] ok--[import gsheet 15/12/2022] Création nouvelle exigence&lt;br/&gt;
[OCL 13-12-2022] Cette exigence doit venir en complément d'une exigence qui permet d'alerter l'utilisateur au moment de l'ouverture du dossier patient et qui vient l'alerter si une nouvelle version d'un document intrégré est disponible&lt;br/&gt;
[MMA ATELIER HOP DU 9/12] Proposition de nouvelle rédaction plus fonctionnelle : Dans le cas où l’utilisateur visualise un document CDA stocké dans le dossier du patient, le système DOIT rechercher si une nouvelle version du document existe dans le DMP et proposer le cas échéant à l’utilisateur de visualiser la nouvelle version du document et de garder la version antérieure.&lt;br/&gt;
--&gt; ancienne version "technique" à ajouter en commentaire&lt;br/&gt;
[MMA ATELIER CDA DU 23/11] Ajout suite à atelier&lt;/p&gt;</t>
  </si>
  <si>
    <t>CDA/INT.08</t>
  </si>
  <si>
    <t>Le système DOIT permettre à l'utilisateur d'identifier visuellement (sans clic) l'origine des documents intégrés au système depuis une source extérieure incluant au moins la catégorie : "DMP"</t>
  </si>
  <si>
    <t>&lt;p&gt;Exigence liée au référentiel de sécurité et d'interopérabilité relatif à l'accès du DMP.&lt;/p&gt;</t>
  </si>
  <si>
    <t>&lt;p&gt;Le système DOIT permettre à l'utilisateur d'identifier visuellement (sans clic) l'origine des documents intégrés au système depuis une source extérieure incluant au moins la catégorie : "DMP"&lt;/p&gt;</t>
  </si>
  <si>
    <t>&lt;p&gt;[ECL 03/03) : Le système DOIT tracer la source de récupération du document CDA intégré (à minima : "DMP" et "MSSanté") : et =&gt; ou car contrôle sur l'id du document&lt;br/&gt;
Le système DOIT tracer la source de récupération du document CDA intégré (à minima : "DMP" ou "MSSanté"). &lt;br/&gt;
A noter que la règle de détection de doublon de document (même id) a été étendue à &lt;br/&gt;
Faire les scénario de conformité suivants :&lt;br/&gt;
Cas 1 : 1 document intgré dans le dossier du patient provenant du dmp : information attendue 'exemple' : document provenant du DMP&lt;br/&gt;
Cas 2 : 1 document intgré dans le dossier du patient provenant de la mss : information attendue 'exemple' : document provenant de la MSS&lt;br/&gt;
Cas 3 : 1 document id X est déjà intégré dans le dossier du patient provenant du dmp  / réception du document Idx par la mss : l'information 'document provenant du DMP' n'est pas mise à jour. &lt;br/&gt;
Cas 4 : 1 document id X est déjà intégré dans le dossier du patient provenant de la mss  / réception du document Idx depuis le DMP : l'information 'document provenant de la MSS' n'est pas mise à jour.&lt;/p&gt;
&lt;p&gt;&lt;/p&gt;
&lt;p&gt;[AM 03/20] message pour CLARA: &lt;br/&gt;
Le système DOIT tracer la source de récupération du document CDA intégré (à minima : "DMP" et "MSSanté").&lt;br/&gt;
Le système DOIT tracer la source de récupération du document CDA intégré (à minima : "DMP" et "MSSanté").&lt;br/&gt;
et&lt;br/&gt;
Le système DOIT tracer la source de récupération du document CDA intégré depuis le "DMP".&lt;/p&gt;
&lt;p&gt;modifiée en :&lt;/p&gt;
&lt;p&gt;Le système DOIT tracer la source de récupération du document CDA intégré (à minima : "DMP" et "MSSanté").&lt;br/&gt;
et&lt;br/&gt;
Le système DOIT tracer la source de récupération du document CDA intégré depuis le "DMP".&lt;/p&gt;
&lt;p&gt;&lt;/p&gt;
&lt;p&gt;[ECL 30/0] A diviser en 2 exigences : les SGL n'intégreront pas de doc CDA reçus en PJ de MSS :&lt;/p&gt;
&lt;p&gt;Le système DOIT tracer la source de récupération du document CDA intégré (à minima : "DMP" et "MSSanté").&lt;br/&gt;
et&lt;/p&gt;
&lt;p&gt;Le système DOIT tracer la source de récupération du document CDA intégré depuis le "DMP".&lt;/p&gt;
&lt;p&gt;&lt;/p&gt;
&lt;p&gt;[ IT4 BIO Dedalus 23/01/2023 ] Doublon avec SC.CDA/INT.08&lt;br/&gt;
[ IT4 BIO Dedalus 23/01/2023 ] Les SIL ne reçoivent pas à ce jour de CDA, ils pourraient en recevoir automatiquement uniquement en provenance d'autres laboratoires avec un lien IHE ILW et ce serait des comptes rendus de biologie.&lt;br/&gt;
Ils ne recoivent pas de flux MSSanté.&lt;br/&gt;
[ IT4 BIO Technidata 23/01/2023 ] Idem INT.08 mais semble spécifique pour BIO&lt;br/&gt;
[ IT4 DPI HCL 23/01/2023 ] Retirer la mention "sans clic", cela allourdit les écrans et n'est pas utile à l'utilisateur dans son utilisation courante du DPI. Laisser le choix à l'éditeur de gérer cela comme il le jugera le plus pertinent&lt;br/&gt;
[ IT4 DPI HM 23/01/2023 ] Pourquoi le précision sans clik ? Laissez aux éditeurs le loisir de mettre en oeuvre la meilleure ergonomie&lt;br/&gt;
[ IT4 DPI Mediboard 23/01/2023 ] OK--[import gsheet 15/12/2022] Modifications :  Fonction&lt;br/&gt;
[IT3 AzMA 07/12] Avons-nous demandé au logiciel de stocker "l'origine" du document CDA (MSS ou DMP) ?  Nous avons traduit cette exigence à des fins statistiques et non pour une visualisation de la part du PS.&lt;br/&gt;
[IT3 BIO GXI 01/12/2022 Commentaires pour porteurs socle] Ce n'est pas de l'intégration mais de l'interface utilisateur. Pour la bio étant donné que l'intégration des docs venant de MSS ont été supprimé pour la bio la catégorie MSS ne s'applique pas. &lt;br/&gt;
Quid des copies manuelles dont on ne connait pas l'origine ?&lt;br/&gt;
[ IT3 BIO SOFTWAY 28/11/2022 ] Ce n'est pas de l'intégration mais de l'interface utilisateur. Pour la bio étant donné que l'intégration des docs venant de MSS ont été supprimé pour la bio la catégorie MSS ne s'applique pas. &lt;br/&gt;
Quid des copies manuelles dont on ne connait pas l'origine ?&lt;br/&gt;
[ IT3 LGC AXISANTE 28/11/2022 ] L'auteur du document n'est il pas plus important que la source d'intégration pour la prise en charge du Patient ? L'information de la source d'intégration pourrai etre suffisante lors de la visualisation des propriétés du documents. Ce qui permet de ne pas encombrer l'affichage des informations et mettre en avant les données médicales plus que technique.&lt;br/&gt;
[ IT3 LGC MEDISTORY 28/11/2022 ] faut il à ce niveau un indicateur "document externe" ou une identification plus détaillée de l'origine ?&lt;br/&gt;
---IT3[ BATCH 16/11/2022 ] Précédent commentaire évolution : Exigence précisée et rend obsolète SC.DMP/CONF.07&lt;br/&gt;
Anciennement SC.MSS/CDA.08&lt;br/&gt;
[IT2/DB] [MBA 09/11/2022] : Exigence hors périmètre de REM DB, je passe en obsolete, la DRIMbox intègre uniquement des docs provenants du DMP&lt;br/&gt;
[JRE 26/10/2022] anciennement SC.MSS/CDA.08&lt;br/&gt;
[IT1 / LGC] A vérifier&lt;br/&gt;
[IT1 / LGC] Que signifie un cda reçu qui aurait été généré dans la structure ?&lt;br/&gt;
[IT1 / HOP] OK&lt;br/&gt;
[IT1 / HOP] Exigence DPI selon nous.&lt;br/&gt;
[IT 1 /LGC] "provenance" =&gt; l'affichage de l'émetteur est-il suffisant&lt;br/&gt;
"affichage différent" =&gt; le "type" CDA est-il suffisant ou faut-il un icône (ou autre) ?&lt;br/&gt;
[IT1 / HOP ] Exigence identique à DMP/UX.38. Qu'un document soit produit en interne, ou importer d'une source externe, il doit être afficher de la même façon. La source du document peut être affichée de différente façon (icône, nom de l'application source &amp;hellip;). Au choix de l'éditeur de choisir la méthode la plus adpatée au système.&lt;br/&gt;
[DPROD] à intégrer dans le SONS LGC&lt;br/&gt;
it1 - Redondant avec DMP/AIRS.08&lt;br/&gt;
it 1 à développer&lt;br/&gt;
it1 Les métadonnées ne sont elles pas suffisantes ??&lt;/p&gt;</t>
  </si>
  <si>
    <t>CDA/DD.04</t>
  </si>
  <si>
    <t xml:space="preserve">Dans le cas où l'utilisateur déclenche l'intégration d'un document CDA stocké dans le DMP qui existe déjà dans la base de données du Système (valeurs du champ &lt;id&gt; identiques entre les 2 documents CDA), le système DOIT permettre à l'utilisateur de prendre connaissance que le document est déjà intégré. </t>
  </si>
  <si>
    <t>&lt;p&gt;Dans le cas où l'utilisateur déclenche l'intégration d'un document CDA stocké dans le DMP qui existe déjà dans la base de données du Système (valeurs du champ &lt;id&gt; identiques entre les 2 documents CDA), le système DOIT permettre à l'utilisateur de prendre connaissance que le document est déjà intégré. &lt;/p&gt;</t>
  </si>
  <si>
    <t>&lt;p&gt;[ECL 13/02] DD07 inutile + reformulation DD04&lt;br/&gt;
[ECL 03/02] Nouvelle formulation / faire 2 scénario 1 vérifiant que le document est stocké en base avec l'id et un vérifiant l'affichage du document dmp alors qu'il en existe un déjà stocké en base + ajout dd 07&lt;br/&gt;
"Lorsque l'utilisateur demande l'affichage d'un document CDA stocké dans le DMP et que ce document (même Id de document) est déjà stocké dans le dossier du patient de ce Système, le Système doit afficher le document CDA stocké dans le logiciel." &lt;br/&gt;
[OC 03/02] Je proposerais d'assouplir la rédaction pour laisser à l'éditeur le choix du moment où il fait la comparaison.&lt;br/&gt;
[ECL 30/01 : ajout pour préciser que même uniqueId le document n'est pas intégré, &lt;br/&gt;
par rapport au commentaire cegedim :  IT4 LGC CégédimSanté 23/01/2023 ] risque de doublon si la base de données du PS provient d'une migration d'un autre LGC. : cette exigence ne s'applique que si intégration du document dans le DMP à voir s'il faudrait aussi l'appliquer en cas de migration d'un autre LGC hors périmètre vague 2.&lt;br/&gt;
[ IT4 BIO Dedalus 23/01/2023 ] Risque temps de traitements&lt;br/&gt;
[ IT4 BIO Technidata 23/01/2023 ] Doublon d'une autre exigence ?&lt;br/&gt;
[ IT4 LGC Aatlantide 23/01/2023 ] RAS&lt;br/&gt;
[ IT4 LGC CégédimSanté 23/01/2023 ] risque de doublon si la base de données du PS provient d'une migration d'un autre LGC.&lt;br/&gt;
[ IT4 LGC Doctolib 23/01/2023 ] RAS&lt;br/&gt;
[ IT4 LGC Tamn 23/01/2023 ] ok--[import gsheet 20/01/2023] Modifications :  Description&lt;br/&gt;
[atelier conformité - ECL - 13/12/22] Ajouter la notion de blocage de l'intégration du document déjà présent &lt;br/&gt;
[MMA ATELIER HOP DU 09/11] &lt;br/&gt;
à transformer en préconisation au moins pour les DPI :&lt;br/&gt;
En établissement, un même document peut ne pas être partagé entre tous les services. Pour cette raison, un même document (avec le même uniqueId) peut devoir être intégré plusieurs fois dans le dossier du patient.&lt;br/&gt;
En fonction des usages (nombre de doublons observés,…), cette préconisation pourra être transformée en exigence dans une vague ultérieure).&lt;/p&gt;
&lt;p&gt;[MMA ATELIER CDA DU 23/11] Ajout suite à atelier&lt;/p&gt;</t>
  </si>
  <si>
    <t>DMP/HISTO.06</t>
  </si>
  <si>
    <t>Le Système DOIT offrir des modalités d'alimentation du DMP avec l'ensemble des documents concernant un patient et présents dans le logiciel, avec :
- Des filtres par défaut :
(i) caractère non-décédé du patient, tel qu'éventuellement référencé dans le système et/ou détectés via une confrontation par https://deces.matchid.io
(ii) INS qualifiée dans le dossier du patient
(iii) document non préalablement déjà alimenté avec succès au DMP
(iv) case d'opposition à l'alimentation au DMP pour motif légitime non cochée
- Des éléments fonctionnels paramétrables :
(i) Types de documents locaux à envoyer, avec un mapping proposé sur les typecode DMP, si ce paramétrage n'est pas déjà proposé ailleurs
(ii) Antériorité de la reprise, en permettant de paramétrer 'depuis X années, mois ou jours' ou avec une date de début et une date de fin
- Un élément technique, paramétrable pour l'ensemble du logiciel sur la vitesse maximale d'alimentation
- Sélectionner un ou des examens en particulier pour envoyer les demandes par lot
- Ces critères peuvent s'additionner</t>
  </si>
  <si>
    <t>&lt;p&gt;Le Système DOIT permettre l'alimentation automatique du DMP avec les documents non préalablement déjà alimentés avec succès pour les patients répondant aux critères cumulatifs suivants :&lt;br/&gt;
(i) caractère non-décédé du patient, tel que référencé dans le système et détecté via une confrontation par https://deces.matchid.io &lt;br/&gt;
(ii) INS qualifiée du patient &lt;br/&gt;
(iii) non opposition du patient à l'alimentation du DMP &lt;/p&gt;</t>
  </si>
  <si>
    <t>&lt;p&gt;Le Système DOIT offrir des modalités d'alimentation du DMP avec l'ensemble des documents concernant un patient et présents dans le logiciel, avec :&lt;br/&gt;
- Des filtres par défaut :&lt;br/&gt;
(i) caractère non-décédé du patient, tel qu'éventuellement référencé dans le système et/ou détectés via une confrontation par https://deces.matchid.io&lt;br/&gt;
(ii) INS qualifiée dans le dossier du patient&lt;br/&gt;
(iii) document non préalablement déjà alimenté avec succès au DMP&lt;br/&gt;
(iv) case d'opposition à l'alimentation au DMP pour motif légitime non cochée&lt;br/&gt;
- Des éléments fonctionnels paramétrables :&lt;br/&gt;
(i) Types de documents locaux à envoyer, avec un mapping proposé sur les typecode DMP, si ce paramétrage n'est pas déjà proposé ailleurs&lt;br/&gt;
(ii) Antériorité de la reprise, en permettant de paramétrer 'depuis X années, mois ou jours' ou avec une date de début et une date de fin&lt;br/&gt;
- Un élément technique, paramétrable pour l'ensemble du logiciel sur la vitesse maximale d'alimentation&lt;br/&gt;
- Sélectionner un ou des examens en particulier pour envoyer les demandes par lot&lt;br/&gt;
- Ces critères peuvent s'additionner&lt;/p&gt;</t>
  </si>
  <si>
    <t>&lt;p&gt;[IT5 CMO 06/02] Arbitrage actuel : maintenue pour l'hop et le RIS, exigence dérivée pour la bio, non prise côté LGC &lt;br/&gt;
[ IT4 DPI HM 23/01/2023 ] Non, trop compliqué, trop risqué&lt;br/&gt;
[ IT4 DPI Mediboard 23/01/2023 ] OK--[import gsheet 12/01/2023] nouvelle association exigence socle &lt;br/&gt;
[IT5 CMO 05/01] A toutes les TF exigence à reprendre ou décliner ? (LGC ne la prend pas ? Dédiée pour la MDV. BIO prise RIS ?)&lt;br/&gt;
[IT3 BIO GXI 01/12/2022 Commentaires pour porteurs socle] Proposition de modification pour le REM de biologie&lt;br/&gt;
Le Système DOIT offrir des modalités d'alimentation automatiques, avec au moins :&lt;br/&gt;
- Des filtres par défaut :&lt;br/&gt;
(i) caractère non-décédé du patient, tel qu'éventuellement référencé dans le système et/ou détectés via une confrontation par https://deces.matchid.io&lt;br/&gt;
(ii) INS qualifiée dans le dossier du patient&lt;br/&gt;
(iii) document non préalablement déjà alimenté avec succès au DMP&lt;br/&gt;
(iv) case d'opposition à l'alimentation au DMP pour motif légitime non cochée&lt;br/&gt;
- Des éléments fonctionnels paramétrables à la maille des unités organisationnelles de soins :&lt;br/&gt;
(i) Types de documents locaux à envoyer, avec un mapping proposé sur les typecode DMP, si ce paramétrage n'est pas déjà proposé ailleurs&lt;br/&gt;
(ii) Antériorité de la reprise, en permettant de paramétrer 'depuis X années, mois ou jours' ou avec une date de début et une date de fin&lt;br/&gt;
(iii) L'évènement déclencheur de l'alimentation : (ex: préadmission, J-X avant le séjour, J+X après le séjour, etc.), ainsi que la possibilité d'effectuer une opération de rattrapage planifiée sur tous les patients existants&lt;br/&gt;
- Un élément technique, paramétrable pour l'ensemble du logiciel sur la vitesse maximale d'alimentation&lt;br/&gt;
- Sélectionner un ou des examens en particulier pour envoyer les demandes par lot. &lt;br/&gt;
- Ces critères peuvent s'additionner&lt;br/&gt;
[ IT3 LGC AATLANTIDE 28/11/2022 ] L'alimentation au dmp nécessite que l'INS du Patient soit qualifié afin de garantir la donnée de santé. Le filtre ii n'est donc pas nécessaire. Il faut obliger les LGC à alimenter le DMP uniquement pour les INS qualifiés. Quel est l'utilité du filtre iii ?&lt;br/&gt;
le filtre iv ne doit pas exister. Le système doit enregistrer une opposition et non pas une non opposition.&lt;br/&gt;
l'élément fonctionnel ii est un vrai risque car le professionnel de santé n'a pas forcément conscience que les données saisies dans le passé ont pour vocation d'être diffusées et partagées.&lt;br/&gt;
l'élément fonctionnel iii est uniquement à destination des hopitaux. quel est le cas d'usage pour la médecine de ville ?&lt;br/&gt;
que signifie la vitesse maximale d'alimentation dans l'élément fonctionnel iv ?&lt;br/&gt;
[ IT3 LGC AXISANTE 28/11/2022 ] Cette exigence semble etre risqué, la publication automatique d'un historique de document sans controle de l'utilisateur est tres dangeureuse. Pouvez vous preciser la cinematique avec un cas d'usage pour comprendre comment mettre en place ce parcours utilisateur dans un logiciel dédié au medecin en liberal.&lt;br/&gt;
[ IT3 LGC CGS 28/11/2022 ] Est-ce adapté la MDV? Notamment les éléments fonctionnels paramétrables et l'élément technique.&lt;br/&gt;
Préciser l'objectif&lt;br/&gt;
[ IT3 LGC HELLODOC 28/11/2022 ] - Cette exigence concerne-t-elle vraiment le couloir MDV ?&lt;br/&gt;
- Quel est l'interêt pour un MT ou un spécialiste en MDV de publier automatiquement l'historique du patient sur le DMP ? &lt;br/&gt;
- Le VSM n'est-il pas prévu pour synthétiser les informations importantes concernant le patient ?&lt;br/&gt;
 - Fonctionnalié à fort impact sur les performance du système. &lt;br/&gt;
 - Gros risque de publier des documents confidentiels dans le DMP non souhaités par le patient.&lt;br/&gt;
 - Certains médecins risquent de publier des documents de l'historique pour lesquels ils ne seraient pas l'auteur ou de republier des documents déjà publier par le véritable auteur du document : p.e des documents reçus provenant de confrères, des documents scannés qui ne seraient pas au bon format PDF (non PDF/A1) provenant d'un spécialiste.&lt;br/&gt;
- Il est de la responsabilité de l'auteur de déposer un document qu'il a produit sur le DMP. Le médecin qui n'est pas l'auteur ne devrait le déposer.&lt;br/&gt;
- Est-ce que les patients accepteraient que le médecin publie sur leur Espace Santé plusieurs années d'historique sans leurs consentements ? Un patient peut souhaiter garder confidentielle une partie de son histoire médicale.&lt;br/&gt;
[ IT3 LGC MEDISTORY 28/11/2022 ] Préciser ces Modalités d'alimentation automatique par éléments fonctionnels (pas clair)&lt;br/&gt;
[IT2/DB] [MBA 08/11/2022] : La DRIMbox réalise l'alimentation du DMP à partir d'un CR validé et envoyé au DMP.&lt;br/&gt;
Je ne comprend pas cette exigence dans notre contexte&lt;br/&gt;
[IT2/DB] [MBA 26/10/2022] : La DRIMbox ne fait pas de reprises d'historique de KOS uniquement, mais si reprise de CR par le RIS elle pourra générer les différents KOS automatiquement des examens des CR&lt;br/&gt;
La DRIMbox va produire les KOS à partir des métadonnées récupérées du CR qui a été validé par le RIS.&lt;br/&gt;
Cette production du KOS est automatique et complètement dépendante au processus métier de production du CR dont le RIS est responsable&lt;br/&gt;
[IT1 / HOP] existe-t-il des API pour https://deces.matchid.io?&lt;br/&gt;
[IT1 / BIO ] A préciser ; Notice technique pour https://deces.matchid.io - Développement complexe. Attention à la charge des serveurs - Proposition : action semi-automatique pour ne pas surcharger le serveur &lt;br/&gt;
[IT1 / BIO] Les laoratoires ne gèrent pas toutes ces infos. &lt;br/&gt;
[SONS LGC] [BL] à débattre, mais je propose de ne pas le mettre en MDV (les docs historiques du cabinet ont bcp moins de valeur que dans les ES lors d'épisodes aigus)&lt;br/&gt;
it1 La mention d'autorisation à l'alimentation apparait à nouveau.&lt;br/&gt;
[It1 : éditeur] Laisser le choix au service de configuer le type de reprise n'est pas applicable : ce n'est pas le service qui va gérer ce type d'action mais plutôt la Direction des services Numériques.&lt;br/&gt;
Laisser le choix de l'événement déclencheur de l'alimentation parait très risqué, encore plus de laisser la possibilité de rattraper tous les patients existants&lt;br/&gt;
"Un élément technique, paramétrable pour l'ensemble du logiciel sur la vitesse maximale d'alimentation " =&gt; quelles sont les limites posées par le DMP ? Ce n'est pas à l'éditeur de décider de cet élément technique sans garantie qu'il puisse être applicable&lt;br/&gt;
 &lt;br/&gt;
it 1 Le filtre doit-il prévoir d'exclure les périodes de création de documents créés avant la l'organisation dans l'établissement d'une information et d'un recueil d'opposition pour motif légitime car alors le patient n'aura pas été en mesure d'exprimer une opposition (case forcément non côchée) ?&lt;br/&gt;
Le filtre doit-il exclure les documents des auteurs qui ne travaillent plus dans l'établissement et pour lesquels il pourrait être impossible de supprimer les documents excepté évolution du SI DMP ?&lt;br/&gt;
Le filtre doit-il prendre en compte la règle qui indiquait qu'il ne peut y avoir qu'une seule opération d'alimentation d'historique pour un patient ? L'exigence semblerait permettre plusieurs opérations d'alimentation d'historique ?&lt;br/&gt;
[It1 : éditeur] très consommateur&lt;/p&gt;</t>
  </si>
  <si>
    <t>DMP/HISTO.01</t>
  </si>
  <si>
    <t>Le Système DOIT permettre d'identifier pour chaque document  dans la demande ou la fiche patient, si le document a déjà fait l'objet d'une alimentation réussie au DMP, et de rendre cette information visible à l'utilisateur.</t>
  </si>
  <si>
    <t>&lt;p&gt;Le Système DOIT permettre d'identifier pour chaque document  dans la demande ou la fiche patient, si le document a déjà fait l'objet d'une alimentation réussie au DMP, et de rendre cette information visible à l'utilisateur.&lt;/p&gt;</t>
  </si>
  <si>
    <t>&lt;p&gt;[IT 5 VDU 06/02] Exigence dérivée Bio à créer car "plutôt que de parler de document il vaut mieux utiliser le terme demande ou dossier (ou voire un autre) qui correspond à la réalité de la bio" (commentaire issu de GXI)&lt;br/&gt;
[OCl 03/02] Commentaire éditeur incompréhensible =&gt; A nettoyerpour validation.&lt;br/&gt;
[ IT4 BIO Dedalus 23/01/2023 ] Ce point n'est pas adapté à la biologie : identifier document par document dans le dossier patient.&lt;br/&gt;
Sur un SIL le dossier patient permet d'identifier les venues du patient mais pas de voir les documents produits pour chaque venue sachant que le laboratoire produit uniquement des comptes rendus.&lt;br/&gt;
[ IT4 DPI HM 23/01/2023 ] RAS&lt;br/&gt;
[ IT4 DPI Mediboard 23/01/2023 ] OK&lt;br/&gt;
[ IT4 LGC Aatlantide 23/01/2023 ] L'alimentation au dmp nécessite que l'INS du Patient soit qualifié afin de garantir la donnée de santé. Le filtre ii n'est donc pas nécessaire. Il faut obliger les LGC à alimenter le DMP uniquement pour les INS qualifiés &lt;br/&gt;
l'élément fonctionnel ii est un vrai risque car le professionnel de santé n'a pas forcément conscience que les données saisies dans le passé ont pour vocation d'être diffusées et partagées.&lt;br/&gt;
[ IT4 LGC Aatlantide 23/01/2023 ] RAS&lt;br/&gt;
[ IT4 LGC CégédimSanté 23/01/2023 ] Risque de polluer le DMP des patients.&lt;br/&gt;
Dans le cadre d'un changement de LGC par le PS, risque d'envoi de doublon, documents non structurés et non typés&lt;br/&gt;
Risque de saturer le DMP pour un patient suivi par un MT depuis 20 ans&lt;br/&gt;
Risque d'impact sur les performances pour les LGC SaaS si plusieurs PS lancent cet envoi sur toute leur patientèle en simultanée&lt;br/&gt;
[ IT4 LGC Doctolib 23/01/2023 ] RAS&lt;br/&gt;
[ IT4 LGC Doctolib 23/01/2023 ] RAS&lt;br/&gt;
[ IT4 LGC Hellodoc Axisanté 23/01/2023 ] Lors de l'envoi d'un lot de documents, l'utilisateur pourrait déposer par erreur un ou plusieurs documents que le patients ne souhaite pas forcément voir apparaitre dans son DMP.&lt;br/&gt;
Comment gérer ce cas ?&lt;/p&gt;
&lt;p&gt;Quand un document est déposé par un PS sur le DMP d'un patient ce denier reçoit une alerte. Comment seront gérés les alertes lors de l'alimentation d'un lot de document ? : une seule alerte ou plusieurs ?&lt;/p&gt;
&lt;p&gt;Quelle doit être le niveau de confidentialité à attribuer à chaque document d'un lot ? Faut-il attribuer un niveau de confidentialité par défaut ?&lt;br/&gt;
[ IT4 LGC Tamn 23/01/2023 ] OK--[import gsheet 14/12/2022] Modifications :  Status (ancien =  UNDER_REVIEW)&lt;br/&gt;
---IT3[ BATCH 16/11/2022 ] Précédent commentaire évolution :&lt;br/&gt;
Cette exigence est une amélioration des exigences de la vague 1 pour permettre de mieux visualiser cette information en cas de demande du patient (si le document a bien été alimenté, ou de souhaiter le retirer, ou autres types de demandes) et cela permet aussi de de rendre possible l'alimentation manuelle des autres documents non alimentés encore.&lt;br/&gt;
En effet avec l'arrivée de Mon espace santé, les associations de patients et citoyens demandent à disposer de leur historique de santé à portée de main. C'est un élément majeur dans l'appropriation de Mon espace santé et pour permettre une meilleure prise en charge dans leurs prochains épisodes de santé&lt;br/&gt;
Un document dit historique est un document généré par et présent dans le logicel métier et alimenté au DMP à postériori de sa création dans le logiciel. Ainsi, cela nécessite que le logiciel puisse être en capacité de bien dater le document, y mettre l'auteur et l'INS qualifiée. &lt;br/&gt;
L'ensemble de ces fonctionnalités doit être disponible uniquement pour les documents produits par le PS et non pour ceux récupérés du DMP ou de la MS Santé. &lt;br/&gt;
Guide sur la reprise historique du logiciel vers le DMP (solidarites-sante.gouv.fr) &lt;/p&gt;
&lt;p&gt;[OCL 04/11/2022] @CMO je serai favorable à généraliser cette exigence (ie pas que pour les alim d'historique)&lt;br/&gt;
==&gt; le système DOIT proposer une interface graphique permettant de visualiser l'ensemble des alimentation du DMP (réussie et en échéc), sur une période configurable&lt;br/&gt;
qu'en penses-tu ? &lt;br/&gt;
(Attention, ça nécessite que les éditeurs mettent en place une grosse base de donnée locale ==&gt; il va faloir définir les règles de purge / archivage notamment avec @LFK)&lt;br/&gt;
[CM 3/11 : Gros commentaires éditeurs ajoutés]&lt;br/&gt;
[IT1 / LGC] OK&lt;br/&gt;
[IT1 / HOP] OK&lt;br/&gt;
[IT1 / HOP] Il nous semble important d'identifier les exigences correspondant à des corrections du DSR vague 1.&lt;br/&gt;
[IT1 / LGC] -&lt;br/&gt;
[IT1 / HOP ] _&lt;br/&gt;
[IT1 / BIO ] RAS&lt;br/&gt;
[IT1 / BIO] Quel est l'interêt de récupérer l'arrieré de biologie ?&lt;br/&gt;
[It1 : Editeur] A quel niveau de granularité est-ce souhaité ? Au niveau d'un patient tous PS confondus ? Au niveau d'un PS tous patients confondus ? Cela doit il faire l'objet d'une liste transversale de documents avec filtre et tri ?&lt;br/&gt;
it1 Tous les documents produits et envoyés dans le DMP ne sont pas "centralisé" : ordonnance ; courrier ; document de la GED etc.. (att DD v1) &lt;br/&gt;
[It1 : éditeur] ok au bémol près du fonctionnement du DPI qui s'il passe par une PFI n'a pas l'acquittement du bon dépôt du document dans le DMP&lt;br/&gt;
it 1 à développer&lt;/p&gt;</t>
  </si>
  <si>
    <t>CDA/DD.08</t>
  </si>
  <si>
    <t>Le système doit savoir produire l'ensemble des documents listés dans le Dossier de Spécification de Référencement (DSR) en annexe 3 conformément aux formats indiqués.</t>
  </si>
  <si>
    <t>&lt;p&gt;Le système doit savoir produire l'ensemble des documents listés dans le Dossier de Spécification de Référencement (DSR) en annexe 3 conformément aux formats indiqués.&lt;/p&gt;</t>
  </si>
  <si>
    <t>&lt;p&gt;14/02 : proposition de tableau à insérer dans le REM ou dans le DSR en annexe 4.&lt;br/&gt;
Suite à la validation de la doctrine des formats d'échange et de partage de documents en point DT/DP du jeudi 11/01, proposition de diviser cette exigence en 4 exigences qui seront choisies ou pas par les TF. Comme pour les DSR médico soc., l'exigence dit quel est le format de document à produire et le dsr liste en annexe pour cette exigence les types de documents à produire. TO DO 1, il faut préciser dans les exigences DMP et MSS quels sont les formats partagés dans le DMP ou échangés par MSS par exemple pour exigence 3 en MSS il faut préciser que le LPS doit envoyer le N1, le N3 dans le PJ IHE XDM.ZIP et le PDF/A-1 correspondant. TO DO 2 : vérifier que l'exigence 2 et 3 ci-dessous n'existe pas déjà dans le rem. TO DO 3 : l'exigence 1 sera probablement limitée au RIS car les modifications de structuration minimale entre vague 1 et vague 2 n'impacte que les RIS. en attente confirmation par l'ANS : note en cours de rédaction par équipe CI-SIS : quels sont les volets vague 1 à repasser en tests en vague 2 ?&lt;/p&gt;</t>
  </si>
  <si>
    <t>DMP/CONF.03</t>
  </si>
  <si>
    <t>En cas de constation d'une erreur d'alimentation (mauvais KOS ou mauvais DMP) ou à la demande du patient, le système DOIT permettre à l'utilisateur de supprimer du DMP le(s) KOS concerné(s) (transaction TD3.3c) automatiquement grâce à la réception dans son système Source d'un message de suppression conforme au (volet de Transport CDA-R2 en HL7)
L'utilisateur retrouvera le détail de cette fonctionnalité décrite dans la documentation associée au système.</t>
  </si>
  <si>
    <t>&lt;p&gt;La suppression du KOS est totalement dépendante du CR d'Imagerie, en effet en cas de modifications, suppressions nous attendons systématiquement un message HL7 conforme au volet de transport CDA-R2 en HL7.&lt;br/&gt;
Si la suppression concerne uniquement le KOS il convient au PS de se connecter à son RIS producteur du CR pour faire la modification du CR ou activer sa suppression&lt;/p&gt;</t>
  </si>
  <si>
    <t>&lt;p&gt;En cas de constation d'une erreur d'alimentation (mauvais KOS ou mauvais DMP) ou à la demande du patient, le système DOIT permettre à l'utilisateur de supprimer du DMP le(s) KOS concerné(s) (transaction TD3.3c) automatiquement grâce à la réception dans son système Source d'un message de suppression conforme au (volet de Transport CDA-R2 en HL7)&lt;/p&gt;
&lt;p&gt;L'utilisateur retrouvera le détail de cette fonctionnalité décrite dans la documentation associée au système.&lt;/p&gt;</t>
  </si>
  <si>
    <t>&lt;p&gt;[ IT4 DPI Dedalus 23/01/2023 ] 09/12/2022 - La suppression de document dans le DMP a été réalisé via des développements supplémentaires au REM de la vague 1, par différents moyens et à la demande des clients. Il ne faut pas que le "bouton spécifique" soit la seule mise en œuvre acceptée par la DNS. Il faut rendre cette exigence plus générale (possiblité de supprimer un document à partir du système).&lt;br/&gt;
[ IT4 DPI HM 23/01/2023 ] Ok&lt;br/&gt;
[ IT4 DPI Mediboard 23/01/2023 ] OK&lt;br/&gt;
[ IT4 LGC Aatlantide 23/01/2023 ] RAS&lt;br/&gt;
[ IT4 LGC Doctolib 23/01/2023 ] RAS--[import gsheet 15/12/2022] Modifications :  Section&lt;br/&gt;
[ IT3 HOP-HOP-DPI BERGER LEVRAULT 28/11/2022 ] Préciser les droits&lt;br/&gt;
---IT3[ BATCH 16/11/2022 ] Précédent commentaire évolution : Fusion avec la SC.DMP/HISTO.02 qui elle a été rendue obsolète.&lt;br/&gt;
[CM 3/11] &gt; fusion avec la SC.DMP/HISTO.02 &lt;br/&gt;
[ IT2 BIO INLOG 30/10/2022 ] Est-ce qu'un bouton spécifiquement réservé à cet usage et documenté comme tel dans la documentation utilisateur sera considéré comme une identifiation claire ?&lt;br/&gt;
[ IT2 BIO TECHNIDATA 30/10/2022 ] Déjà traité en vague 1 : est-il nécessaire de le traiter à nouveau en vague 2 ?&lt;br/&gt;
[ IT2 HOP-DPI BERGER_LEVRAULT 30/10/2022 ] A préciser : Quelle procédure (libre ou cadrée) ?&lt;br/&gt;
[ IT2 LGC AATLANTIDE 30/10/2022 ] L'exigence n'est elle pas couverte par [SC. DMP/HISTO.02]&lt;br/&gt;
[ IT2 LGC CALIMAPS 30/10/2022 ] S'agit-il de documentation utilisateur ? Le bouton de suppression est déjà demandé dans l'exigence SC. DMP/HISTO.02&lt;br/&gt;
[ IT2 LGC CGS 30/10/2022 ] est-ce une documentation utilisateur qui est demandée ?&lt;br/&gt;
---IT2 [BATCH 30/10/2022] insertion retours éditeurs&lt;br/&gt;
[IT1/DB] [MBA 26/10/2022] : Nous confirmons cette exigence et nous ajouterons une exigence spécifique pour que la DRIMbox supprime le KOS&lt;/p&gt;
&lt;p&gt;[IT2 / CONFORMITE / 19/10/2022]&lt;br/&gt;
Question : Est-ce que l'attendu est une documentation à destination de l'utilisateur décrivant la procédure à exécuter? (et/ou exécution de la suppression du document dans le DMP depuis la solution?)&lt;br/&gt;
Consignes de rédaction : proscrire le terme "clairement" qui manque de précision&lt;br/&gt;
Source : DMP_3.3c : supprimer un document (via TD3.3c) du Guide d'intégration DMP v 2.6.1*&lt;br/&gt;
==&gt; exigence modifiée pour fusionner avec une autre exigence&lt;/p&gt;
&lt;p&gt;[&lt;/p&gt;</t>
  </si>
  <si>
    <t>DMP/CONF.09</t>
  </si>
  <si>
    <t>Le système DOIT permettre de tracer la non-opposition du patient pour l'alimentation du DMP dans son système d’information. Il DOIT bloquer la transmission à la PFI lorsque la non opposition du patient n'est pas enregistrée.</t>
  </si>
  <si>
    <t>&lt;p&gt;Cf. clarification dans la note d'accompagnement &lt;/p&gt;</t>
  </si>
  <si>
    <t>&lt;p&gt;Le système DOIT permettre de tracer la non-opposition du patient pour l'alimentation du DMP dans son système d’information. Il DOIT bloquer la transmission à la PFI lorsque la non opposition du patient n'est pas enregistrée.&lt;/p&gt;</t>
  </si>
  <si>
    <t>&lt;p&gt;[ IT4 LGC Aatlantide 23/01/2023 ] RAS&lt;br/&gt;
[ IT4 LGC CégédimSanté 23/01/2023 ] Pourquoi la gestion de la non-opposition n'est-elle pas gérée au niveau du DMP? TD 1.6: liste des PS autorisés / bloqués sur le DMP d’un patient&lt;br/&gt;
La gestion de la non-opposition en local (par le LGC) a ses limites car pas de partage avec les autres LGC (exemple un PS qui travaille dans différentes structures)&lt;br/&gt;
[ IT4 LGC Doctolib 23/01/2023 ] L’enregistrement de l’accord / de la non-opposition du patient est-elle nécessaire à chaque étape, pour chaque professionnel de santé ? Nous anticipons une grande complexité des workflows si c’est le cas.[ IT3 LGC AATLANTIDE 28/11/2022 ] Pourquoi ne pas avoir qu'un seul consentement au niveau du DMP ? &lt;br/&gt;
Pourquoi le DMP ne permet il pas au patient de gérer les droits au niveau de "Mon Espace Santé" ?&lt;br/&gt;
[ IT3 LGC JUXTA 28/11/2022 ] L'exigence DMP/CONF.09 n'est pas en doublon avec DMP/CONF.06 ?&lt;br/&gt;
---IT3[ BATCH 16/11/2022 ] Précédent commentaire évolution : 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patient.&amp;nbsp;&lt;br/&gt;
[IT2&amp;nbsp;/ CONFORMITE / 02/11/2022] Suggestion de modification : &amp;quot;[...] Il DOIT bloquer les transactions d&amp;#39;alimentation au DMP lorsque la non opposition du patient n&amp;#39;est pas enregistr&amp;eacute;e.&amp;quot;&amp;nbsp;&lt;br/&gt;
Question : est-ce qu&amp;#39;il y aura une exigence d&amp;eacute;di&amp;eacute;e au recueil de l&amp;#39;opposition du patient &amp;agrave; l&amp;#39;alimentation de son DMP?&amp;nbsp;&lt;/p&gt;
&lt;p&gt;CM pour LFK : pris en compte&lt;/p&gt;
&lt;p&gt;CM &amp;agrave; OC : peut impacter l&amp;#39;alimentation syst&amp;eacute;matique&lt;/p&gt;</t>
  </si>
  <si>
    <t>DMP/CONF.06</t>
  </si>
  <si>
    <t>Le système ne DOIT pas permettre les transactions d'accès en consultation au DMP lorsque le patient s'est opposé à la consultation de son DMP avec nottament un consentement absent positionné à Non dans les paramètres de l'appel contextuel (Spécification à positionner)</t>
  </si>
  <si>
    <t>&lt;p&gt;Cf. explications dans la note d'accompagnement.&lt;/p&gt;</t>
  </si>
  <si>
    <t>&lt;p&gt;Le système ne DOIT pas permettre les transactions d'accès en consultation au DMP lorsque le patient s'est opposé à la consultation de son DMP avec nottament un consentement absent positionné à Non dans les paramètres de l'appel contextuel (Spécification à positionner)&lt;/p&gt;</t>
  </si>
  <si>
    <t>&lt;p&gt;[IT4 DPI Numeum ASINHPA] Attention entre les notions "non-opposition" (à venir) et "autorisation" (actuellement pour le DMP). Tant que cela n'est pas générique cela ne fonctionnera pas sur le terrain (complexe à implémenter GAP&gt;DPI). Mettre cela dans MonEspaceSanté ? Le process doit être rediscuté&lt;br/&gt;
[ IT4 BIO Inlog 23/01/2023 ] Commentaire transmis lors de l'itération précédente :&lt;br/&gt;
Avec l'accès WebPS en mode tableau de bord développé pour la vague 1, le système d'information n'a pas connaissance des dossiers auxquels accède le PS et ne peut donc pas bloquer l'accès à tel ou tel dossier.&lt;br/&gt;
[ IT4 DPI HM 23/01/2023 ] Attention entre les notions "non-opposition" (à venir) et "autorisation" (actuellement pour le DMP). Tant que cela n'est pas générique cela ne fonctionnera pas sur le terrain (complexe à implémenter GAP&gt;DPI). Mettre cela dans MonEspaceSanté ? Le process doit être rediscuté&lt;br/&gt;
[ IT4 DPI Maincare 23/01/2023 ] Il y  a des risques de désynchronisation en gérant deux notions différentes : non-opposition dans le DPI à un niveau global (Patient pour 1 établissement) ; et Autorisation d'accès individuelle dans le SI-DMP. Avec la non opposition gérée par le DPI, il conviendrait de clarifier la responsabilité juridique dans le cas où une "non-oppposition" aurait été enregistrée dans un DPI, entrainant ensuite la création "automatique" "d'Autorisation d'accès" dans le SI-DMP pour des professionnels de santé de l'établissement, dans le cas d'une contestation du patient qui indiquerait ensuite n'avoir jamais donné sa non-opposition.&lt;br/&gt;
Nous avons noté qu'il est également demandé aux RIS et aux SGL de recueillir cette "non opposition", or il n'existe aucun référentiel pour échanger cette notion entre les applications DPI, RIS et SGL d'un même établissement. Exiger ce recueil à plusieurs reprises dans l'hôpital pendant un même séjour du patient dans le DPI, le RIS et le SGL présente un risque d'acceptabilité ou de mécontentement des utilisateurs qui pourrait retarder l'obtention des VA. Il y aura aussi le risque que la "non opposition" soit enregistrée avec des valeurs différentes pour le même patient/séjour dans le DPI,  SGL et  RIS.&lt;br/&gt;
Il serait plus logique que les autorisations de consultation soient centralisées et stockées dans le DMP plutôt que dupliquer cette non-opposition dans tous les DPI. Par exemple le SI-DMP pourrait évoluer pour gérer des autorisations d'accès pour tout le personnel de santé d'un établissement, autorisant ensuite des créations automatiques d'autorisations individuelles des professionnels de santé de l'établissement désirant accéder au DMP du patient.&lt;br/&gt;
[ IT4 DPI Mediboard 23/01/2023 ] doit on poser la question au patient? Ou est ce par défaut à oui (accès DMP)&lt;br/&gt;
[ IT4 LGC Aatlantide 23/01/2023 ] RAS&lt;br/&gt;
[ IT4 LGC CégédimSanté 23/01/2023 ] Pourquoi la gestion de la non-opposition n'est-elle pas gérée au niveau du DMP? TD 1.6: liste des PS autorisés / bloqués sur le DMP d’un patient&lt;br/&gt;
La gestion de la non-opposition en local (par le LGC) a ses limites car pas de partage avec les autres LGC (exemple un PS qui travaille dans différentes structures)&lt;br/&gt;
[ IT4 LGC Doctolib 23/01/2023 ] RAS--[import gsheet 09/01/2023] Modifications :  Description&lt;br/&gt;
[ IT3 BIO INLOG 28/11/2022 ] Avec l'accès WebPS en mode tableau de bord développé pour la vague 1, le système d'information n'a pas connaissance des dossiers auxquels accède le PS et ne peut donc pas bloquer l'accès à tel ou tel dossier.&lt;br/&gt;
[ IT3 HOP-HOP-DPI EASILY 28/11/2022 ] comment peut on bloquer systématiquement une non opposition alors qu'elle est "éventuelle". Ce n'est pas clair : le recueil de la non opposition doit il être systématique et obligatoire ?&lt;br/&gt;
[ IT3 HOP-HOP-DPI LIFEN 28/11/2022 ] A notre sens, ne concerne pas la PFI dans le scénario où la PFI ne gère pas le flux de consultation DMP.&lt;br/&gt;
[ IT3 HOP-HOP-DPI MAINCARE SOLUTIONS 28/11/2022 ] Il manque les informations de la communication au patient, indiquée en cours d'instruction, pour pouvoir vraiment commenter cette exigence.&lt;br/&gt;
Est-il vraiment utile de gérer une non opposition dans le DPI, alors que le DMP exige d'y enregistrer une autorisation d'accès chacun des utilisateurs qui consulteront le DMP ?&lt;br/&gt;
[ IT3 LGC AATLANTIDE 28/11/2022 ] Souhaitez vous une demande de consentement sur l'utilisation du DMP du patient ? Comme celle existante sur la MSS PRO et MSS Patient. Il est souhaitable d'inverser l'exigence, il faut bloquer lorsque l'opposition du patient est enregistrée, sinon par défaut, il n'y aura plus d'accès au DMP pour les utilisateurs.&lt;br/&gt;
[ IT3 LGC DOCTOLIB 28/11/2022 ] Quelles sont les conditions d'enregistrement de la non-opposition ? Est-ce pré-coché par défaut ? en présence du patient ?&lt;br/&gt;
[ IT3 LGC JUXTA 28/11/2022 ] Les doubles négations dans les exigences sont incompréhensibles.&lt;br/&gt;
---IT3[ BATCH 16/11/2022 ] Précédent commentaire évolution : Les exigences SC.DMP/CONF.09 et SC.DMP/CONF.06 concernent 2 non oppositions : à l'alimentation et à la consultation.&lt;br/&gt;
Une instruction doit être menée pour préciser les modalités de mise en oeuvre de la communication auprès du patient. &lt;br/&gt;
[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DMP&lt;br/&gt;
[ IT2 BIO DEDALUS 30/10/2022 ] 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?&lt;br/&gt;
[ IT2 BIO INLOG 30/10/2022 ] 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?&lt;br/&gt;
---IT2 [BATCH 30/10/2022] insertion retours éditeurs&lt;br/&gt;
IT2/DB] [MBA 08/11/2022] : L'enregistrement de la non opposition sera tracé par le LPS qui va appeler la DRIMbox, un passage de contexte est réalisé vers la DRIMbox.&lt;br/&gt;
La DRIMbox par contre doit bloquer les transactions si elle n'a pas reçu la non opposition dans son appel contextuel&lt;br/&gt;
Il est nécessaire de réaliser un split de cette exigence&lt;br/&gt;
[IT1/DB] [MBA 26/10/2022] Exigence hors périmètre de la DRIMbox. la DRIMbox se base sur un consentement oui/non mais laisse la traçabilité du consentement au LPS qui lance la DRIMbox (RIS/DPI)&lt;/p&gt;
&lt;p&gt;[JRE] : anciennement SC.DMP/AIRS.05&lt;br/&gt;
Assembleurs : Exigence à transférer côté CONFORMITE&lt;br/&gt;
[IT1 / LGC] à développer, puis faire homologation (dev ITO + métier)&lt;br/&gt;
[IT1 / LGC] Le DMP AIR Simplifié ne concerne que les MSP ou CS (donc disposant d'un FINESS) et uniquement en authentification indirecte ?&lt;br/&gt;
[IT1 / HOP] à vérifier mais normalement c'est OK. Le consentement est activable dans la fiche patient&lt;br/&gt;
[IT1 / HOP] Exigence DPI selon nous.&lt;br/&gt;
[IT1 / LGC] Le modèle AIR est-il applicable aux solutions qui équipent les PS du secteur ambulatoire ? Il semble, au regard des pratiques d'authentification en vigueur sur ce secteur, que le modèle AIR n'ait d'intérêt que pour le secteur hospitalier&lt;br/&gt;
[IT1 / BIO ] Dans la phase 1 de Ségur il fallait encoder l'opposition du patient à ne pas alimenter le DMP. Est-ce que ceci concerne une opposition globale du patient à la mise à jour du DMP pour toutes les demandes? Si le patient marque son opposition en quoi est-ce que ceci empêche l'accès au DMP pour visualiser d'autres rapports?&lt;br/&gt;
[IT1 / BIO ] RAS&lt;br/&gt;
[DPROD] @Equipe Transverse : à intégrer dans le SONS LGC&lt;br/&gt;
Proposition DT : si l'opposition du patient est enregistrée dans le système, celui-ci doit bloquer les transactions manuelles ou automatiques d'accès au DMP&lt;br/&gt;
Commentaire DT : attention au cas particulier de l'hôpital, dans quelle brique du SIH est réalisé le recueil du consentement?&lt;br/&gt;
[JBL] : à intégrer dans les exigences de consultation DMP infra ?&lt;br/&gt;
[SONS LGC] : Eventuellement pour les CDS =&gt; pertinence / viabilité à instruire =&gt; Plutot à supprimer de l'itération 1 pour que les éditeurs se concentrent sur le cas du cabinet libéral&lt;br/&gt;
[ECL] Il me semblait que le patient pouvait s'opposer à la consultation mais pas à l'alimentation&lt;br/&gt;
Retours éditeurs itération #1 :&lt;br/&gt;
Cette exigence est inadéquate.&lt;br/&gt;
D'une part, c'est le DMP qui est supposé autoriser ou non le PS à accéder aux données du patient, selon la matrice d'habilitations et les autorisations fournies par le patient.&lt;br/&gt;
D'autre part, les PS sont déjà dans l'obligation de valider le consentement ou l'opposition du patient dans leurs outils habituels.&lt;br/&gt;
Donc une telle exigence va rendre complexe l'accès à l'imagerie du DMP d'un patient et ne pourra que faire échouer le projet DRIM box.&lt;br/&gt;
[MBA] A rediscuter, nécessité de tracer le conentement patient dans le LPS&lt;br/&gt;
[LFK] Cette exigence est positionnée pour indiquer que l'information concernant le consentement du patient peut être traité bien en amont de l'accès au DMP. Que cette information peut être enregistrée et transmise d'un LPS à l'autre le cas échéant.&lt;/p&gt;
&lt;p&gt;it1 opposition du patient doit être gérée plus globalement : HIS, GAM&lt;/p&gt;
&lt;p&gt;it 1Il n'est pas homogène avec le système DMP d'enregistrer une Opposition du patient car il n'est pas possible actuelleemnt de transmettre cette notion d'opposition de consultation dans le système DMP. Il serait donc utile que le Système DMP évolue aussi pour qu'il puisse enregistrer les éventuelles Oppositions déclarées par un patient auprès de Professionnels de santé ou d'établissements de santé. Par exemple, un utilisateur pourrait contourner cette opposition enregistrée dans le DPI en ouvrant le Web-PS et en se déclarant autorisé.&lt;br/&gt;
[It1 : éditeur] Au niveau usage, à quel moment ce point est-il tracé ? Directement dans le DPI ? Dès l'accueil dans l'établissement et dans ce cas faut-il prévoir un echange avec les GAM/GAP ?&lt;/p&gt;
&lt;p&gt;it 1 Opposition à l'alimentation ou à la consultation ? Faut-il 2 oppositions distinctes ?&lt;br/&gt;
Ces oppositions sont-elles globales ou par PS ? Pourquoi alimenter un DMP si le patient s'est opposé à sa consulation ?&lt;/p&gt;
&lt;p&gt;it 1 &lt;br/&gt;
AIR= authentification indirecte renforcée (sans CPS)&lt;br/&gt;
nouvelle version DMP 2.6 ou plus (carnet de vaccination)&lt;br/&gt;
à developper LGC et Intérop (nouvelle API en cours de finalisation)&lt;/p&gt;
&lt;p&gt;-------------------LFK 14/10/2022&lt;br/&gt;
Dans cette exigence, il s'agit bien de la non opposition d'accès en consultation au DMP qui doit être tracée en local. Si le patient ne s'oppose pas, le LPS devra demander une autorisation d'accès pour ce PS sur le DMP du patient valable 6 mois.&lt;/p&gt;</t>
  </si>
  <si>
    <t>En cas d'erreur d'alimentation (mauvais document ou mauvais DMP) ou à la demande du patient, le système DOIT permettre de supprimer du DMP le(s) document(s) concerné(s) (transaction TD3.3c) suite à la demande du DPI.</t>
  </si>
  <si>
    <t>&lt;p&gt;Sur sollicitation de plusieurs éditeurs, cette exigence est rendue plus générique pour permettre différentes manière de supprimer le ou les document(s)&lt;/p&gt;</t>
  </si>
  <si>
    <t>&lt;p&gt;En cas d'erreur d'alimentation (mauvais document ou mauvais DMP) ou à la demande du patient, le système DOIT permettre de supprimer du DMP le(s) document(s) concerné(s) (transaction TD3.3c) suite à la demande du DPI.&lt;/p&gt;</t>
  </si>
  <si>
    <t>DMP/ALI/PROG.02</t>
  </si>
  <si>
    <t>Dès leur validation par l'utilisateur, le système doit systématiquement et automatiquement envoyer les documents listés dans le DSR en annexe 3 au DMP,  et ce sans nécessiter une action complémentaire de sa part.</t>
  </si>
  <si>
    <t>&lt;p&gt;Issue de l'exigence DMP/ALI/PROG.01 rendue obsolète. Arbitrage de reprendre cette exigence clé de la vague 1 (DMP 5 du REM HOP DPI) afin de vérifier qu'aucune régression n'ait eu lieu entre la vague 1 et la vague 2 et réinsister sur le caractère automatique de l'alimentation au DMP. &lt;/p&gt;
&lt;p&gt;Pour expliciter le comportement décrit en SC.DMP/ALI/PROG.02 et 03 : &lt;br/&gt;
- lorsque l'utilisateur clique "valider" =&gt; le document est automatiquement envoyé au DMP (le bouton peut par exemple être renommé en "valider et envoyer")&lt;br/&gt;
- s'il ne souhaite pas envoyer le document au DMP, il doit obligatoirement réaliser un clic supplémentaire avant d'appuyer sur "valider". &lt;/p&gt;
&lt;p&gt;Cette exigence apporte donc un complément ("sans action complémentaire de sa part") à l'exigence présente en Vague 1 (ex : DMP pour le REM-HOP-DPI-Va1).&lt;/p&gt;</t>
  </si>
  <si>
    <t>&lt;p&gt;Dès leur validation par l'utilisateur, le système doit systématiquement et automatiquement envoyer les documents listés dans le DSR en annexe 3 au DMP,  et ce sans nécessiter une action complémentaire de sa part.&lt;/p&gt;</t>
  </si>
  <si>
    <t xml:space="preserve">Le système DOIT programmer l'envoi systématique et automatique des TYPE_DE_DOCUMENT au DMP via la PFI lorsqu'ils sont validés par l’utilisateur et sans nécessiter une action complémentaire de sa part.
</t>
  </si>
  <si>
    <t>&lt;p&gt;Le système DOIT programmer l'envoi systématique et automatique des TYPE_DE_DOCUMENT au DMP via la PFI lorsqu'ils sont validés par l’utilisateur et sans nécessiter une action complémentaire de sa part.&lt;/p&gt;</t>
  </si>
  <si>
    <t>DMP/ALI/PROG.05</t>
  </si>
  <si>
    <t>L'envoi systématique et automatique des documents listés dans le DSR en annexe 3, au DMP, décrit dans SC.DMP/ALI/PROG.02 DOIT s’effectuer en tâche de fond, sans perturber ou figer l’interface graphique de l’utilisateur.</t>
  </si>
  <si>
    <t>&lt;p&gt;Issue de l'exigence DMP/ALI/PROG.01 rendue obsolète.&lt;/p&gt;</t>
  </si>
  <si>
    <t>&lt;p&gt;L'envoi systématique et automatique des documents listés dans le DSR en annexe 3, au DMP, décrit dans SC.DMP/ALI/PROG.02 DOIT s’effectuer en tâche de fond, sans perturber ou figer l’interface graphique de l’utilisateur.&lt;/p&gt;</t>
  </si>
  <si>
    <t>DMP/ALI/PROG.06</t>
  </si>
  <si>
    <t>Lorsque le flux vers la PFI n'est techniquement pas possible, le système DOIT placer en attente d'ordre d'envoi à la fonction PFI les documents concernés et les renvoyer automatiquement à la fonction PFI lorsque c’est de nouveau possible.</t>
  </si>
  <si>
    <t>&lt;p&gt;Issue de l'exigence DMP/ALI/PROG.01 rendue obsolète.&lt;/p&gt;
&lt;p&gt;La rédaction de cette exigence est rendue générique : tous les envois au DMP (automatiques, manuels, d'un document antérieur) qui ne peuvent être réalisés du fait d'une indisponibilité temporaire de la connexion doivent être placés en fille d'attention pour exécution ultérieure et automatique une fois la connexion à nouveau possible.&lt;/p&gt;
&lt;p&gt;Spécifié pour l'envoi à la PFI pour le couloir Hôpital.&lt;/p&gt;</t>
  </si>
  <si>
    <t>&lt;p&gt;Lorsque le flux vers la PFI n'est techniquement pas possible, le système DOIT placer en attente d'ordre d'envoi à la fonction PFI les documents concernés et les renvoyer automatiquement à la fonction PFI lorsque c’est de nouveau possible.&lt;/p&gt;</t>
  </si>
  <si>
    <t>DMP/ALI/PROG.07</t>
  </si>
  <si>
    <t>À partir du moment où la connexion au DMP est à nouveau techniquement possible, le système DOIT en informer l'utilisateur et lui proposer d'exécuter immédiatement ou ultérieurement les ordres d'envois au DMP placés en attente en application de l'exigence SC.DMP/ALI/PROG.06.</t>
  </si>
  <si>
    <t>&lt;p&gt;Issue de l'exigence DMP/ALI/PROG.01 rendue obsolète.&lt;/p&gt;
&lt;p&gt;Comportement complémentaire de SC.DMP/ALI/PROG.06.&lt;/p&gt;</t>
  </si>
  <si>
    <t>&lt;p&gt;À partir du moment où la connexion au DMP est à nouveau techniquement possible, le système DOIT en informer l'utilisateur et lui proposer d'exécuter immédiatement ou ultérieurement les ordres d'envois au DMP placés en attente en application de l'exigence SC.DMP/ALI/PROG.06.&lt;/p&gt;</t>
  </si>
  <si>
    <t xml:space="preserve">Lorsque la connexion au DMP n'est techniquement pas possible (coupure réseau, date de validité du certificat dépassée, …), le système DOIT systématiquement placer en attente l'ordre d'envoi au DMP des documents concernés et renvoyer automatiquement lorsque la connexion au DMP est de nouveau possible.
</t>
  </si>
  <si>
    <t>&lt;p&gt;Lorsque la connexion au DMP n'est techniquement pas possible (coupure réseau, date de validité du certificat dépassée, …), le système DOIT systématiquement placer en attente l'ordre d'envoi au DMP des documents concernés et renvoyer automatiquement lorsque la connexion au DMP est de nouveau possible.&lt;/p&gt;</t>
  </si>
  <si>
    <t>DMP/HISTO.08</t>
  </si>
  <si>
    <t>Le système DOIT permettre de paramétrer la fonction HISTO.06 selon : 
(i) Le type de de documents à envoyer 
(ii) L'antériorité de la reprise 
(iii) La programmation d'une opération de rattrapage globale sur un ou plusieurs patients 
(iv) La vitesse d’alimentation maximale</t>
  </si>
  <si>
    <t>&lt;p&gt;Paramétrage de la SC.DMP/SC.HISTO.06&lt;br/&gt;
(iii) et (iv) ne peuvent naturellement pas être programmés en même temps. La vitesse d'alimentation maximale, auparavant présente en HISTO.06, a été reportée ici &lt;/p&gt;</t>
  </si>
  <si>
    <t>&lt;p&gt;Le système DOIT permettre de paramétrer la fonction HISTO.06 selon : &lt;br/&gt;
(i) Le type de de documents à envoyer &lt;br/&gt;
(ii) L'antériorité de la reprise &lt;br/&gt;
(iii) La programmation d'une opération de rattrapage globale sur un ou plusieurs patients &lt;br/&gt;
(iv) La vitesse d’alimentation maximale&lt;/p&gt;</t>
  </si>
  <si>
    <t>DMP/UX.49</t>
  </si>
  <si>
    <t>Le système Conso DOIT être en capacité de consulter le DMP par appel contextuel conformément à l’un des profils définis dans le guide d’intégration « Service DMP intégré aux LPS » [DMP1] vXXXX et aux exigences de la transaction de l’accès web-PS contextuel TD 0.9 a minima à l'aide d'une authentification indirecte (AIR) et en e-CPS pour la fonction tableau de bord du PS et la fonction dossier patient.</t>
  </si>
  <si>
    <t>&lt;p&gt;Attention à la distinction sur les modes d'accès : d'une part le mode "intégration forte" du DMP aux LPS avec possibilité d'authentification AIR simplifié pour les structures, et d'autre part en mode accès WebPS&lt;/p&gt;</t>
  </si>
  <si>
    <t>&lt;p&gt;Le système Conso DOIT être en capacité de consulter le DMP par appel contextuel conformément à l’un des profils définis dans le guide d’intégration « Service DMP intégré aux LPS » [DMP1] vXXXX et aux exigences de la transaction de l’accès web-PS contextuel TD 0.9 a minima à l'aide d'une authentification indirecte (AIR) et en e-CPS pour la fonction tableau de bord du PS et la fonction dossier patient.&lt;/p&gt;</t>
  </si>
  <si>
    <t>&lt;p&gt;[ IT4 BIO Dedalus 23/01/2023 ] Pourquoi remettre cette exigence elle était en vague 1 ?&lt;br/&gt;
[ IT4 BIO Inlog 23/01/2023 ] Commentaire transmis lors de l'itération précédente :&lt;/p&gt;
&lt;p&gt;Faut-il que le système puisse consulter le DMP de 3 façons différentes : &lt;br/&gt;
- en mode d'authentification AIR&lt;br/&gt;
- en mode "Service DMP intégré aux LPS"&lt;br/&gt;
- en mode accès WebPS"&lt;br/&gt;
?&lt;/p&gt;
&lt;p&gt;Pourquoi maintnir une telle complexité avec ces différents mode d'accès ?&lt;br/&gt;
[ IT4 DPI HCL 23/01/2023 ] quel est l'intérêt de cette fonctionnalité puisqu'on nous demande de savoir afficher les documents du DMP dans le DPI ?&lt;br/&gt;
[ IT4 DPI HM 23/01/2023 ] Ok&lt;br/&gt;
[ IT4 DPI Mediboard 23/01/2023 ] OK&lt;br/&gt;
[ IT4 LGC Aatlantide 23/01/2023 ] RAS&lt;br/&gt;
[ IT4 LGC Doctolib 23/01/2023 ] RAS&lt;br/&gt;
[ IT4 LGC Tamn 23/01/2023 ] ok--[import gsheet 14/12/2022] Modifications :  Status (ancien =  WORK_IN_PROGRESS)&lt;br/&gt;
[ IT3 BIO INLOG 28/11/2022 ] Faut-il que le système puisse consulter le DMP de 3 façons différentes : &lt;br/&gt;
- en mode mode d'authentification AIR&lt;br/&gt;
- en mode "Service DMP intégré aux LPS"&lt;br/&gt;
- en mode accès WebPS"&lt;br/&gt;
?&lt;br/&gt;
[IT2/DB] [MBA 09/11/2022] : Exigence toujours en cours de rédaction côté SC&lt;br/&gt;
[ IT2 BIO DEDALUS 30/10/2022 ] Nous ne comprenons pas.&lt;br/&gt;
Le commentaire semble sous-entendre qu'il faut supprimer le Web-PS si le profil consultation est implémenté. Mais les exigences du mode AIR semblent forcer l'implémentation du profil..?&lt;br/&gt;
[ IT2 BIO TECHNIDATA 30/10/2022 ] Traité en vague 1 ?&lt;br/&gt;
[ IT2 HOP-DPI HM 30/10/2022 ] OK mais inutile&lt;br/&gt;
[ IT2 HOP-DPI MAINCARE 30/10/2022 ] Rendre cet accès paramétrable par établissement.&lt;br/&gt;
[ IT2 LGC CGS 30/10/2022 ] doublon UX.46?&lt;br/&gt;
---IT2 [BATCH 30/10/2022] insertion retours éditeurs&lt;br/&gt;
---IT2 [AMA 27/10/2022] : note supprimée : "exigence nécessaire compte tenu des exigences d'intégration fortes du DMP ?"&lt;br/&gt;
[IT2/DB] [MBA 26/10/2022] : A confirmer sur quel authentification DMP sera basé cette transaction ?&lt;br/&gt;
Point logué en COTECH. &lt;br/&gt;
Si uniquement carte CPS exigence non prise par le REM DB&lt;br/&gt;
[IT 2 / CONFORMITE / 26/10/2022 ] Question : est-ce que l'attendu est une homologation DMP (comme en vague 1, par exemple comme pour l'exigence DMP 6 du DSR SGL)?&lt;br/&gt;
Constats : La note est à supprimer &lt;br/&gt;
La version du référentiel doit être précisée &lt;br/&gt;
BLOQUANT POUR REDACTION SCENARIO&lt;br/&gt;
---IT1 [AMA13/10/2022] : Pour discussion, quelques commentaires éditeurs :&lt;/p&gt;
&lt;p&gt;"Un système qui mettra en &amp;oelig;uvre le Profil de consultaiton du DMP devrait pouvoir ne plus proposer d'accès au lancement du Web-PS, en tout cas permettre à l'établissement de désactiver cet appel pour simplifier l'ergonomie proposée aux utilisateurs."&lt;br/&gt;
"L'intérêt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consultation."&lt;/p&gt;
&lt;p&gt;&lt;/p&gt;
&lt;p&gt;[IT1 / LGC] OK&lt;br/&gt;
[IT1 / HOP] OK&lt;br/&gt;
[IT1 / HOP] Ok pour supprimer l'exigence. Il faudrait en revanche permettre en AIRS les actions qui ne sont pas possibles en authentification indirecte (ex. masquage/démasquage, Invisibilité paitent/visibilité patient, archivage...)&lt;br/&gt;
[IT1 / LGC] -&lt;br/&gt;
[IT1 / HOP ] _&lt;br/&gt;
[IT1 / BIO ] RAS&lt;br/&gt;
[Dprod] @JMC : a retirer du REM Radio&lt;br/&gt;
Attention : exigences existantes en préconisation pour la Va1 et obligatoire pour radio&lt;br/&gt;
Le "système" peut être entendu comme une architecture DPI-PFI pour le couloir Hôpital&lt;br/&gt;
Retours éditeurs itération #1 :&lt;br/&gt;
Cette exigence semble intégrer l'exigence DMP/UX.48.&lt;br/&gt;
Donc, soit elle est reformulée pour bien distinguer les 2, soit il faut supprimer l'exigence DMP/UX.48.&lt;br/&gt;
Nos remarques sur l'exigence DMP/UX.48 restent valides pour DMP/UX.49.&lt;br/&gt;
Concernant DMP/UX.48 : Est-ce vraiment pertinent de donner accès au Web PS DMP depuis l'interface utilisateur de la DRIM box ? Il y-a-t'il un réel besoin et un cas d'usage identifié ?&lt;br/&gt;
Il nous semble que cette exigence ne devrait pas être obligatoire.&lt;/p&gt;
&lt;p&gt;it1 Déjà traité dans la vague 1. Que contient de plus cette exigence ? &lt;/p&gt;
&lt;p&gt;it 1 C'est justement peu pratique. Un sysème qui mettra en &amp;oelig;uvre le Profil de consultaiton du DMP devrait pouvoir ne plus proposer d'accès au lancement du Web-PS, en tout cas permettre à l'établissement de désactiver cet appel pour simplifier l'ergonomie proposée aux utilisateurs.&lt;/p&gt;
&lt;p&gt;it 1 Quelle différence avec l'exigence de la vague 1 ?&lt;br/&gt;
N'est-ce pas redondant avec l'exigence DMP/UX.47 ?&lt;br/&gt;
it1 déjà le cas&lt;/p&gt;
&lt;p&gt;[Itération 1 : Retour éditeur] 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consultation.&lt;br/&gt;
IT1 ; Cette exigence nous semble redondante avec l'ensemble des exigences&lt;/p&gt;</t>
  </si>
  <si>
    <t>DMP/UX.06</t>
  </si>
  <si>
    <t>Le système DOIT permettre à l'utilisateur d'enregistrer un changement de choix du patient concernant la consultation de son DMP par un professionnel de santé et ce quel que soit le moment de la prise en charge.</t>
  </si>
  <si>
    <t>&lt;p&gt;Suppression de la mention "par un professionnel" car toute personne peut effectuer ce changement dans le logiciel&lt;/p&gt;</t>
  </si>
  <si>
    <t>&lt;p&gt;Le système DOIT permettre à l'utilisateur d'enregistrer un changement de choix du patient concernant la consultation de son DMP par un professionnel de santé et ce quel que soit le moment de la prise en charge.&lt;/p&gt;</t>
  </si>
  <si>
    <t>&lt;p&gt;[VDU 06/02] Réécriture commentaire [OCl 03/02] La commentaire non destiné aux éditeurs dans la colonne éditeur. A corriger pour validation finale&lt;br/&gt;
[ IT4 BIO Dedalus 23/01/2023 ] Ce point est incompréhensible. "Par un professionnel" veut dire tous les professionnels ou bien  uniquement le laboratoire ?  Nous pensons que cela concerne juste le labo à la lecture du guide d'intégration DMP&lt;br/&gt;
[ IT4 DPI Berger Levrault 23/01/2023 ] A préciser :&lt;br/&gt;
S'agit'il de gerer les droits patient DMP depuis le DPI ?&lt;br/&gt;
SI oui commen fait-on à travers la PFI&lt;br/&gt;
Ou bien s'agit du consentement patient enregistré dans le DPI&lt;br/&gt;
[ IT4 DPI HCL 23/01/2023 ] La non opposition doit être gérée pour l'ensemble des professionnels de l'établissement et pas unitairement ou par équipe de soins. (si on se met du point de vue du patient, il sera difficilement compréhensible que chaque PS d'un établissement qu'il rencontre lui demande cette autorisation)&lt;br/&gt;
La gestion unitaire des droits doit être laissée à l'appréciation du patient directement dans son DMP&lt;br/&gt;
[ IT4 DPI HM 23/01/2023 ] Ok&lt;br/&gt;
[ IT4 DPI Mediboard 23/01/2023 ] OK&lt;br/&gt;
[ IT4 LGC Aatlantide 23/01/2023 ] RAS&lt;br/&gt;
[ IT4 LGC CégédimSanté 23/01/2023 ] Pourquoi la gestion de la non-opposition n'est-elle pas gérée au niveau du DMP? TD 1.6: liste des PS autorisés / bloqués sur le DMP d’un patient&lt;br/&gt;
La gestion de la non-opposition en local (par le LGC) a ses limites car pas de partage avec les autres LGC (exemple un PS qui travaille dans différentes structures)&lt;br/&gt;
[ IT4 LGC Doctolib 23/01/2023 ] RAS&lt;br/&gt;
[ IT4 LGC Tamn 23/01/2023 ] ok--[import gsheet 14/12/2022] Modifications :  Description, Status (ancien =  WORK_IN_PROGRESS)&lt;br/&gt;
[ IT3 LGC CGS 28/11/2022 ] est-ce que utilisateur = professionnel c'est-à-dire que le professionnel enregistre lui-même le refus du patient à consulter son DMP?&lt;br/&gt;
Est-ce que l'opposition de consultation/alimentation du DMP est propre à chaque professionnel dans la même structure?&lt;br/&gt;
[IT2/DB] [MBA 09/11/2022] : Exigence à porter par le LPS qui réalise l'appel vers la DRIMbox, je laisse l'éxigence en cours de rédaction car côté SC, elle est toujours en cours de rédaction &lt;br/&gt;
[ IT2 HOP-DPI EASILY 30/10/2022 ] le DPI doit permettre d'enregistrer le changement du choix du patient. Mais qui gère le recueil initial de cette non opposition ? Si ce n'est pas le DPI (mais le RI), par quels moyens le DPI peut il en avoir connaissance ?&lt;br/&gt;
Le non consentement recueilli au sein du DPI vaut il pour tous les professionels ? y compris les membres de l'équipe de soins ? uniquement pour les non membres ?&lt;br/&gt;
---IT2 [BATCH 30/10/2022] insertion retours éditeurs&lt;br/&gt;
[IT2 / Comité de validation / 27/10/2022] Prise en compte de la remarque équipe conformité&lt;/p&gt;
&lt;p&gt;[AMA 27/10/2022] Note pour OC : Est-ce que l'on doit intégrer la suggestion de rédaction de l'équipe CONF. --&gt; "Le système DOIT permettre à l'utilisateur d'enregistrer un changement de choix de l'usager concernant la consultation de son DMP par un professionnel et ce quel que soit le moment de la prise en charge"&lt;br/&gt;
[IT2/DB] [MBA 26/10/2022] doute sur la valeur de cette exigence. &lt;br/&gt;
Ne concerne pas le REM DB puisque le reccueil du consentement sera réalisé sur le LPS qui réalise l'appel vers la DRIMbox  &lt;br/&gt;
[IT2 / CONFORMITE / 24/10/2022] : la notion d'"accès" au DMP est ambigue : consultation et/ou alimentation?&lt;br/&gt;
Le fait de préciser "(enregistrement de la non-opposition)" laisse la liberté de ne pas enregistrer l'opposition =&gt; soit il faut préciser les deux cas de figure (enregistrement de l'opposition ou de la non-opposition), soit il ne faut rien indiquer &lt;br/&gt;
Consigne de rédaction : uniformiser le terme "patient" en "usager"&lt;br/&gt;
Suggestion de rédaction : "Le système DOIT permettre à l'utilisateur d'enregistrer un changement de choix de l'usager concernant la consultation de son DMP par un professionnel et ce quel que soit le moment de la prise en charge"&lt;br/&gt;
--- IT1 [MMA 13/10/2022] : Revue suite à comité validation finale comité produit&lt;br/&gt;
---IT1 [AMA 13/10/2022] : Exigence modifiée. [Hop] Mon Espace Santé ne centralise pas la gestion de l'opposition à un établissement. Néanmoins, le patient peut s'opposer à l'accès à son DMP pour un professionnel de santé.&lt;/p&gt;
&lt;p&gt;[IT1 / LGC] OK&lt;br/&gt;
[IT1 / HOP] OK&lt;br/&gt;
[IT1 / HOP] cf DMP/AIRS.05&lt;br/&gt;
[IT1 / LGC] -&lt;br/&gt;
[IT1 / HOP ] C'est le système qui aura recueilli le consentement qui doit gérer la modification du consentement. Sinon, il y a le bris de glace.&lt;br/&gt;
Ces exigences concernant le consentement ne doivent pas faire parti de la vague 2 car la fonction bris de galce permet d'accéder aux documents du DMP, avec ou sans consentement.&lt;br/&gt;
[IT1 / BIO ] RAS&lt;br/&gt;
[IT1 / BIO] Cette information ne peut pas être gérée uniquement dans le SIl, elle doit être propagée par d'autres systémes comme le DPI. Il doit y avoir interdépendance,&lt;br/&gt;
Retours éditeurs itération #1 :&lt;br/&gt;
Cette modification devrait théoriquement être prise en charge par le SIH, pas par la DRIM box. Une telle fonctionnalité sur la DRIM box ne sera jamais utilisée par les médecins, sauf pour désactiver une opposition, sans en avoir réellement informé le patient...&lt;/p&gt;
&lt;p&gt;it1Depuis MES, y a-t-il une gestion de la l'opposition à un ES/PS : comment accorder nos données si tel est le cas.&lt;/p&gt;
&lt;p&gt;it1Vérifier si le consentement ou sa modification est bien véhiculé par la comm HL7 de création de demande reçu par le laboratoire.&lt;br/&gt;
it 1 LGC: existe déjà[OCl 03/02] La commentaire éditeur est crytique. A corriger pour validation finale&lt;/p&gt;</t>
  </si>
  <si>
    <t>PSC.10</t>
  </si>
  <si>
    <t>Lorsque l'utilisateur est identifié sur le système avec Pro Santé Connect, le système DOIT permettre l'appel sécurisé des API des fournisseurs de données en santé pour lequelles il est client (DMP) en application du volet de transport PSC du CI-SIS</t>
  </si>
  <si>
    <t>&lt;p&gt;Lorsque l'utilisateur est identifié sur le système avec Pro Santé Connect, le système DOIT permettre l'appel sécurisé des API des fournisseurs de données en santé pour lequelles il est client (DMP) en application du volet de transport PSC du CI-SIS&lt;/p&gt;</t>
  </si>
  <si>
    <t>&lt;p&gt;[CONFORMITE 06/02/2023] _LUP : quid du statut de cette exigence pour la pré-publication ? est-elle toujours en cours d'instruction/rédaction ? A NOTER : si modifications structurantes =&gt; impacts à répercuter sur les scénario/preuve associés. CORRECTIONS A APPORTER : coquille de rédaction sur "en aplication du volet de transport PSC du CI-SIS" =&gt; "en application du volet de transport PSC du CI-SIS."&lt;br/&gt;
[ IT4 BIO Dedalus 23/01/2023 ] OK pour la consultation du DMP.&lt;br/&gt;
Mais quel intérêt pour l'INSi puisque les labos utilisent un certificat serveur ?&lt;br/&gt;
Où est ce guide d'intégration PSC ? Impossible de savoir si on doit juste transporter le RPPS ou une autre donnée (token de connexion par exemple).&lt;br/&gt;
[ IT4 LGC Aatlantide 23/01/2023 ] RAS&lt;br/&gt;
[ IT4 LGC Doctolib 23/01/2023 ] Peut-on avoir des détails sur la mise en oeuvre ?--[import gsheet 19/01/2023] Modifications :  Status (ancien =  APPROVED)&lt;br/&gt;
[ESO 9/12/22] Exigence rendue non spécifique à l'INS, applicable pour Ordonnance Numérique, INSi et DMP --&gt; pour la partie DMP à refaire valider par Clara/équipe DMP&lt;br/&gt;
[ IT3 RIS 30/11  RIS JMC/RSL - Réponse retours Softway] tout va finir par se faire par PSC donc il faut prévoir le cas sur PSC&lt;br/&gt;
[ IT3 LGC AATLANTIDE 28/11/2022 ] Attention à la taille du développement&lt;br/&gt;
[ IT3 LGC DOCTOLIB 28/11/2022 ] Y a-t-il déjà une documentation technique sur les modalités de fonctionnement et sur ce que ça couvre comme appels à INSi ?&lt;br/&gt;
[ IT3 RIS SOFTWAY 28/11/2022 ] Quel interêt car on utilise déjà soit la CPS soit les certificats logiciels.&lt;br/&gt;
---IT3[ BATCH 16/11/2022 ] Précédent commentaire évolution : cette macro-exigence sera rerédigée une fois l'exigence rédigée du GI TLS INSi définie&lt;br/&gt;
[ IT2 BIO DEDALUS 30/10/2022 ] Les laboratoires utilisent un certificat serveur etablissement pour interroger le téléservice INSi. Cette exigence n'est pas applicable au laboratoire&lt;br/&gt;
Par ailleurs ce sont des secrétaires médicales qui réalisent les accueils.&lt;br/&gt;
[ IT2 BIO TECHNIDATA 30/10/2022 ] Sommes nous concernés si nous sommes esclaves de l'identité ?&lt;br/&gt;
[ IT2 LGC AATLANTIDE 30/10/2022 ] Le CDC n'étant pas encore défini, il est difficile d'estimer la charge de cette demande&lt;br/&gt;
[ IT2 LGC ACTEUR.FR 30/10/2022 ] Le CDC n'étant pas encore défini, il est difficile d'estimer la charge de cette demande&lt;br/&gt;
[ IT2 LGC CGM-AXISANTE 30/10/2022 ] Est-ce qu'un agremment/homologation INSi avec option Pro Santé Connect sera necessaire ?&lt;br/&gt;
[ IT2 LGC CGS 30/10/2022 ]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
[ IT2 LGC DOCTOLIB 30/10/2022 ] - Y a-t-il de la documentation sur l'authentification au téléservice via PSC ? &lt;br/&gt;
- Faut-il repasser une certification CNDA en cas d'utilisation de PSC ?&lt;br/&gt;
---IT2 [BATCH 30/10/2022] insertion retours éditeurs&lt;br/&gt;
[LPI/PSC] OK&lt;br/&gt;
[IT1 / LGC] Attente d'informations complémentaires&lt;br/&gt;
[IT1 / LGC] Besoin de spécifications&lt;br/&gt;
[IT1 / HOP] Attente d'informations complémentaires&lt;br/&gt;
[IT1 / HOP] Exigence DPI selon nous.&lt;br/&gt;
[IT1 / LGC] -&lt;br/&gt;
[IT1 / BIO ] pas d'application pour MOLIS comme esclave d'identité&lt;br/&gt;
[DPROD] : à intégrer dans tous les SONS&lt;br/&gt;
Commentaire DT : à reformuler pour garder la macro-exigence d'appel au TLS INSi avec PSC&lt;br/&gt;
[SONS LGC] [BL] on met ca des la 1e itération?&lt;/p&gt;
&lt;p&gt;it1&lt;br/&gt;
La DRIM box est, au même titre que le PACS, un système "esclave" en ce qui concerne l'INS. Par conséquent, elle ne doit manipuler que des dossiers patients dont l'INS est qualifié en amont par le SIH, et il n'y a aucune raison pour qu'elle procède à des appels aux téléservices INSi.&lt;br/&gt;
Cette exigence doit donc être supprimée.&lt;/p&gt;
&lt;p&gt;it 1 Quand les spécifications seront-elles disponibles ?&lt;br/&gt;
[it1 : éditeur] ?? L'appel se fait par un certificat &lt;br/&gt;
it 1 manque la version référentiel TLSi PSC - à quelle date sera-t-il disponible?&lt;br/&gt;
[Itération 1 : Retour éditeur] Accès TLSi avec token PSC non disponible à cette date 2022-10-06.&lt;br/&gt;
It1 : - Y a-t-il de la documentation sur l'authentification au téléservice via PSC ?&lt;br/&gt;
- Faut-il repasser une certification CNDA en cas d'utilisation de PSC ?&lt;/p&gt;
&lt;p&gt;---------ESO 14/10/2022&lt;br/&gt;
Le volet transport PSC du CI-SIS (à venir) doit préciser les modalités d'authentification de l'utilisateur à PSC. Le guide d'intégration INSi évoluera pour prendre en compte ce volet pour permettre un accès au service en authentification PSC.&lt;/p&gt;</t>
  </si>
  <si>
    <t>DMP/UX.17</t>
  </si>
  <si>
    <t>Le système DOIT permettre à l'utilisateur de configurer les types mentionnés à l'exigence DMP/UX.15. 
Les types configurables de l'exigence DMP/UX.15 contiennent au moins : lettre de liaison, documents d’hospitalisation, volet de synthèse médicale, CR de biologie, CR de radiologie, prescription médicamenteuse, historique de vaccination, ainsi qu’une catégorie « autres documents ».</t>
  </si>
  <si>
    <t>&lt;p&gt;Fusion des exigences DMP/UX.17 et .18 &lt;br/&gt;
La configuration des documents au niveau de la structure de soins, du service et de la spécialité n’est à faire que si elle est applicable. Exemple : un laboratoire n’a qu’une structure de soins, qu’un service et qu’une spécialité.  &lt;br/&gt;
Fiche RCP ajoutée en cohérence avec les travaux de la TF Cancero, pour les services/spécialités concernés.&lt;/p&gt;</t>
  </si>
  <si>
    <t>&lt;p&gt;Le système DOIT permettre à l'utilisateur de configurer les types mentionnés à l'exigence DMP/UX.15. &lt;br/&gt;
Les types configurables de l'exigence DMP/UX.15 contiennent au moins : lettre de liaison, documents d’hospitalisation, volet de synthèse médicale, CR de biologie, CR de radiologie, prescription médicamenteuse, historique de vaccination, ainsi qu’une catégorie « autres documents ».&lt;/p&gt;</t>
  </si>
  <si>
    <t>&lt;p&gt;[ IT4 BIO Dedalus 23/01/2023 ] Nous sommes dans un laboratoire. "au niveau de la structure de soins, du service et de la spécialité" est inadapté. Dans le labo, il n'y a que le type labo, doit-on quand même rechercher les documents d'autres types ?&lt;br/&gt;
[ IT4 DPI HCL 23/01/2023 ] configurer pour quoi ? But de l'exigence ? L'exigence dmp,15 ne parle pas de type de document&lt;br/&gt;
[ IT4 DPI HM 23/01/2023 ] Laisser l'éditeur gérer la façon d'implémenter&lt;br/&gt;
[ IT4 DPI Maincare 23/01/2023 ] Attente organisation de l'atelier annoncé en janvier.&lt;br/&gt;
[ IT4 DPI Mediboard 23/01/2023 ] en cours d'instruction&lt;br/&gt;
[ IT4 LGC Aatlantide 23/01/2023 ] RAS&lt;br/&gt;
[ IT4 LGC CégédimSanté 23/01/2023 ] Le DMP devrait fournir un service qui renvoie ces informations (nombre de documents par type depuis 1 date définie) pour ne pas impacter la performance du logiciel (gros risque selon le nombre de documents)&lt;br/&gt;
[ IT4 LGC Doctolib 23/01/2023 ] Pour la médecine de ville, ces 3 catégories n'existent pas toujours. Peut-on préciser "si ces différents niveaux existent" dans l'exigence ?[ IT3 BIO SOFTWAY 28/11/2022 ] dépend si la 15 et 16 sont conservées&lt;br/&gt;
[ IT3 LGC CGS 28/11/2022 ] Le DMP devrait fournir un service qui renvoie ces informations (nombre de documents par type depuis 1 date définie) pour ne pas impacter la performance du logiciel (gros risque selon le nombre de documents)&lt;br/&gt;
[ IT3 LGC DOCTOLIB 28/11/2022 ] A préciser. Il n'y a pas de " types mentionnés" à l'exigence DMP/UX.15&lt;br/&gt;
[ IT3 RIS SOFTWAY 28/11/2022 ] En cours d'instruction sur le couloir hopital, il serait bien de synchroniser les points de vue&lt;br/&gt;
[IT3&amp;nbsp;/ CONFORMITE / 18/11/2022] Consignes de r&amp;eacute;daction : l&amp;#39;exigence doit &amp;ecirc;tre autoporteuse. On peut &amp;eacute;ventuellement ajouter en note l&amp;#39;exigence li&amp;eacute;e : DMP/UX.15&lt;br/&gt;
Suggestion de r&amp;eacute;daction : &amp;quot;Le syst&amp;egrave;me DOIT permettre &amp;agrave; l&amp;#39;utilisateur de configurer les types de documents vers&amp;eacute;s au DMP&amp;nbsp;au niveau de la structure de soins, du service et de la sp&amp;eacute;cialit&amp;eacute;&lt;br/&gt;
Note : exigence li&amp;eacute;e &amp;agrave; DMP/UX.15&amp;quot;&lt;/p&gt;
&lt;p&gt;[ IT2 BIO DEDALUS 30/10/2022 ] Nous sommes dans un laboratoire. &amp;quot;au niveau de la structure de soins, du service et de la sp&amp;eacute;cialit&amp;eacute;&amp;quot; est inadapt&amp;eacute;&lt;/p&gt;
&lt;p&gt;[ IT2 BIO TECHNIDATA 30/10/2022 ] Voir remarque g&amp;eacute;n&amp;eacute;rale sur l&amp;#39;int&amp;eacute;ret de faire ces requetes aupr&amp;egrave;s du DMP alors que le DMP en lui-m&amp;ecirc;me serait plus &amp;agrave; meme de proposer les fonctionnalit&amp;eacute;s attendues.&lt;/p&gt;
&lt;p&gt;[ IT2 HOP-DPI EASILY 30/10/2022 ] Personnalisation OK, mais le choix du niveau doit rester c&amp;ocirc;t&amp;eacute; &amp;eacute;diteur en fonction de ce qui est permis dans le DPI&lt;br/&gt;
pas de personnalisation au niveau du professionnel ? Il doit donc y avoir n&amp;eacute;cessairement concertation pour param&amp;eacute;trer ces choix&lt;/p&gt;
&lt;p&gt;[ IT2 HOP-DPI HM 30/10/2022 ] Trop compliqu&amp;eacute; sans avoir eu de retour d&amp;#39;exp&amp;eacute;rience d&amp;#39;utilisateurs&lt;/p&gt;
&lt;p&gt;[ IT2 HOP-DPI MAINCARE 30/10/2022 ] La r&amp;eacute;f&amp;eacute;rence serait probablement l&amp;#39;UX,16. Comme pour le point pr&amp;eacute;c&amp;eacute;dent, tant qu&amp;#39;il n&amp;#39;y a pas eu de retour d&amp;#39;exp&amp;eacute;rience de l&amp;#39;exigence UX.15, il semble pr&amp;eacute;matur&amp;eacute; de rendre cette exigence obligatoire. Elle pourrait d&amp;#39;abord &amp;ecirc;tre une recommandation.&lt;/p&gt;
&lt;p&gt;[ IT2 LGC CGM-AXISANTE 30/10/2022 ] Quel est le lien entre les types configurables et l&amp;#39;exigence DMP/UX.15. Les types sont &amp;agrave; configurer &amp;agrave; quel niveau ?&lt;/p&gt;
&lt;p&gt;[ IT2 LGC DOCTOLIB 30/10/2022 ] A pr&amp;eacute;ciser. Il n&amp;#39;y a pas de &amp;quot; types mentionn&amp;eacute;s&amp;quot; &amp;agrave; l&amp;#39;exigence DMP/UX.15&lt;/p&gt;
&lt;p&gt;[ IT2 LGC JUXTA 30/10/2022 ] Qu&amp;#39;entendez-vous par &amp;quot;configurer&amp;quot; les types alors que les types font partie d&amp;#39;un jeu de valeurs? S&amp;#39;agit-il d&amp;#39;un filtre ?&lt;/p&gt;
&lt;p&gt;---IT2 [BATCH 30/10/2022] insertion retours &amp;eacute;diteurs&lt;/p&gt;
&lt;p&gt;---IT1 [CM 13/10] Exigence non modifi&amp;eacute;e.&amp;nbsp;&lt;/p&gt;
&lt;p&gt;Extraits de commentaire&amp;nbsp;&amp;eacute;diteurs :&lt;/p&gt;
&lt;p&gt;&lt;br/&gt;
       Cela pourrait &amp;ecirc;tre simplement une pr&amp;eacute;conisation afin d&amp;#39;avoir un v&amp;eacute;ritable retour d&amp;#39;exp&amp;eacute;rience pendant la vague 2 de l&amp;#39;usage de l&amp;#39;exigence UX15.&lt;br/&gt;
       &lt;br/&gt;
               R&amp;eacute;ponse : C&amp;#39;est justement pour cela que la configuration des types est demand&amp;eacute;e pour pouvoir permettre cette adaptation. Il est possible de rediscuter de la granularit&amp;eacute; n&amp;eacute;cessaire.&amp;nbsp;&lt;br/&gt;
       &lt;br/&gt;
       &lt;/p&gt;
&lt;p&gt;&lt;br/&gt;
[IT1 / LGC] OK&lt;/p&gt;
&lt;p&gt;[IT1 / LGC] Que signifie &amp;quot;au niveau de la structure, du service, de la sp&amp;eacute;cialit&amp;eacute; &amp;quot;, un filtre de recherche &amp;agrave; partager avec les autres utilisateurs du cabinet ?&lt;/p&gt;
&lt;p&gt;[IT1 / HOP] OK&lt;/p&gt;
&lt;p&gt;[IT1 / LGC] -&lt;/p&gt;
&lt;p&gt;[IT1 / HOP ] Cf DMP/UX.15.&lt;/p&gt;
&lt;p&gt;[IT1 / BIO ] A pr&amp;eacute;ciser. Est-ce que cela correspond aux acc&amp;egrave;s rapide dans le web PS ?&lt;/p&gt;
&lt;p&gt;Retours &amp;eacute;diteurs it&amp;eacute;ration #1 :&amp;nbsp;&lt;br/&gt;
Quelle est l&amp;#39;utilit&amp;eacute; de cette exigence dans le cadre de la DRIM box ?&lt;br/&gt;
O&amp;ugrave; est l&amp;#39;exigence DMP/UX.07.1 ?&lt;/p&gt;
&lt;p&gt;&amp;nbsp;&lt;/p&gt;
&lt;p&gt;it1&amp;nbsp;Par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
&lt;p&gt;[It1 : &amp;eacute;diteur]&amp;nbsp;trop intrusif &amp;nbsp;pour le logiciel. Il faut laisser l&amp;#39;&amp;eacute;diteur libre d&amp;#39;articuler la consultation du dmp en fonction de ses propres cat&amp;eacute;gories et IHM de consultation de documents&lt;/p&gt;
&lt;p&gt;&amp;nbsp;&lt;/p&gt;
&lt;p&gt;it 1&amp;nbsp;Cela pourrait &amp;ecirc;tre simplement une pr&amp;eacute;conisation afin d&amp;#39;avoir un v&amp;eacute;ritable retour d&amp;#39;exp&amp;eacute;rience pendant la vague 2 de l&amp;#39;usage de l&amp;#39;exigence UX15.&lt;/p&gt;
&lt;p&gt;[It1 : &amp;eacute;diteur]&amp;nbsp;l&amp;agrave; se pose la question des nouveaux documents si des filtres sont mis en oeuvre&amp;nbsp;&lt;/p&gt;
&lt;p&gt;it1&amp;nbsp;&amp;agrave; pr&amp;eacute;ciser, est-ce que c&amp;#39;est dans l&amp;#39;interface DMP que cette fonctionnalit&amp;eacute; doit &amp;ecirc;tre ajout&amp;eacute;e?&lt;/p&gt;
&lt;p&gt;It1 :&amp;nbsp;Pouvez-vous pr&amp;eacute;ciser svp? (l&amp;#39;exigence de r&amp;eacute;f&amp;eacute;rence ne semble pas li&amp;eacute;e)&lt;/p&gt;
&lt;p&gt;&amp;nbsp;&lt;/p&gt;
&lt;p&gt;[It&amp;eacute;ration 1 : Retour &amp;eacute;diteur] DMP/UX.07.1 n&amp;#39;est pas le bon num&amp;eacute;ro d&amp;#39;exigence =&amp;gt; UX.15 et/ou 14&lt;/p&gt;</t>
  </si>
  <si>
    <t>MSS/CONF.21</t>
  </si>
  <si>
    <t>Lors de l’envoi des documents à un usager vers la MSS citoyenne (Mon espace santé), le système DOIT permettre de programmer de mettre "FIN" à la conversation afin que l'usager ne puisse répondre en retour.</t>
  </si>
  <si>
    <t>&lt;p&gt;Cette habilitation donnée au patient est gérée par MES à la maille de la BAL : donc suivant les cas au niveau personne physique(PER) ou morale (ORG/APP). Cette exigence s'applique bien aux BAL APP qui peuvent l'utiliser par défaut afin d'éviter que le patient n'écrire directement à la BAL APP&lt;/p&gt;</t>
  </si>
  <si>
    <t>&lt;p&gt;Lors de l’envoi des documents à un usager vers la MSS citoyenne (Mon espace santé), le système DOIT permettre de programmer de mettre "FIN" à la conversation afin que l'usager ne puisse répondre en retour.&lt;/p&gt;</t>
  </si>
  <si>
    <t>&lt;p&gt;[EBR 31/01/2023] Cette habilitation donnée au patient est gérée par MES à la maille de la BAL : sonc suivant les cas au niveau personne physique(PER) ou morale (ORG/APP). Cette exigence s'applique bien au BAL APP peuvent l'utiliser par défaut afin d'éviter que le patient n'écrire directement à la BAL APP&lt;br/&gt;
[ IT4 DPI Dedalus 23/01/2023 ] 02/01/2023 - La description de l'exigence concerne la PFI, pas le DPI&lt;br/&gt;
19/01/2023 - Comment le DPI transmet le FIN dans le message HL7 ? Ce n'est actuellement pas couvert par les spécifications DPI.CDA/HL7.*.&lt;br/&gt;
[ IT4 DPI HM 23/01/2023 ] Ok&lt;br/&gt;
[ IT4 DPI Maincare 23/01/2023 ] Il serait possible de modifier cette exigence pour permettre alternativement de mettre en œuvre cette exigence par une préférence par Service de soins, plutôt que par Professionnel ?&lt;br/&gt;
[ IT4 DPI Mediboard 23/01/2023 ] OK&lt;br/&gt;
[ IT4 LGC Aatlantide 23/01/2023 ] RAS&lt;br/&gt;
[ IT4 LGC Doctolib 23/01/2023 ] RAS&lt;br/&gt;
[ IT4 LGC Tamn 23/01/2023 ] ok&lt;br/&gt;
[ IT4 PFI HM 23/01/2023 ] Ce cas d'usage/Besoin ne concerne que les BAL ORG/PER&lt;br/&gt;
Dans le cas de l'utilisation d'un BAL APP, il n'y a pas de notion de discussion entre l'usager et l'établissement, faut-il systématiquement positionner cet entête?&lt;br/&gt;
--[import gsheet 14/12/2022] Modifications :  Description, Status (ancien =  WORK_IN_PROGRESS)&lt;br/&gt;
[EBR 05/12/22 -&gt; comité validation] Comment le DPI transmet le FIN dans le message HL7 ? A voir si pris en compte par le chantier normalisation DPI-PFI&lt;br/&gt;
[ IT3 BIO INLOG 28/11/2022 ] Cette exigence concerne le SGL ou la PFI ?&lt;br/&gt;
D'une façon générale, quand certaines exigences sont réalisables par une PFI il serait bien de l'indiquer comme c'était le cas pour la vague 1 du Ségur.&lt;br/&gt;
[ IT3 HOP-HOP-DPI DEDALUS 28/11/2022 ] Comment le DPI transmet le FIN dans le message HL7 ?&lt;br/&gt;
[ IT3 HOP-HOP-DPI HM 28/11/2022 ] Comment la PFI peut-elle savoir s'il faut mettre fin ou pas. De plus, cette fonctionnalité dans le couloir hopital n'est pas applicable (ou précisez le cas d'usage &lt;br/&gt;
Comme vu lors de la réunion editeur, à reformulerprécier&lt;br/&gt;
[ IT3 LGC HELLODOC 28/11/2022 ] Comment mettre FIN à une conversation déjà en cours ? &lt;br/&gt;
L'envoi du mot "FIN" dans l'objet du message reste t-il toujours valide ?&lt;br/&gt;
[ IT3 LGC HELLODOC 28/11/2022 ] Comment mettre FIN à une conversation déjà en cours ? &lt;br/&gt;
L'envoi du mot "FIN" dans l'objet du message reste t-il toujours valide ?&lt;br/&gt;
---IT3[ BATCH 16/11/2022 ] Précédent commentaire évolution : exigence inchangée : pas de remise en cause de l'exigence&lt;br/&gt;
[ IT2 BIO DEDALUS 30/10/2022 ] Commentaire itération 1 MSS/CONF à partir de 3 non pris en compte : Le SIL n'est pas la boite mail du bilogiste, il ne recoit pas de mails.&lt;br/&gt;
Les mails sont envoyés par l'application et non un biologiste&lt;br/&gt;
[ IT2 BIO TECHNIDATA 30/10/2022 ] Quel est le profil concerné par ces exigences ? SGL ou PFI ?&lt;br/&gt;
[ IT2 LGC CGS 30/10/2022 ] en attente spec&lt;br/&gt;
[ IT2 LGC CGS 30/10/2022 ] en attente spec&lt;br/&gt;
---IT2 [BATCH 30/10/2022] insertion retours éditeurs&lt;br/&gt;
[IT2 / CONFORMITE / 25/10/2022]:&lt;br/&gt;
QUESTION : Est-ce que ça nécessite un paramétrage au préalable des envois selon le souhait du professionnel émetteur de stopper ou pas les échanges avec le patient ?&lt;br/&gt;
[IT1 / LGC] Intégration via service WEB (SOAP) opérateur (MAILIZ et MEDIMAIL)&lt;br/&gt;
Vérifier auprès d'eux&lt;br/&gt;
[IT1 / LGC] Il n'est donc plus nécessaire d'indiquer [FIN] dans l'objet du message ?&lt;br/&gt;
Cf. document "ENS-Mon espace sante - Messagerie - V1.1.pdf"&lt;br/&gt;
[IT1 / HOP] Intégration via service WEB (SOAP) opérateur (MAILIZ et MEDIMAIL)&lt;br/&gt;
Vérifier auprès d'eux&lt;br/&gt;
[IT1 / HOP] Exigence PFI selon nous.&lt;br/&gt;
Cf. le commentaire sur MSS/CONF.14&lt;br/&gt;
[IT1 / HOP ] Uniquement pour les systèmes qui fabriquent les courriers électroniques. Préciser les systèmes concernés dans le couloir hôpital.&lt;br/&gt;
[IT1 / BIO ] Est-ce que ceci doit être paramètrable par demande? Un paramétrage global pour tous les envois patients?&lt;br/&gt;
[EBR] Anciennement MSS/UX.29, déclacé dans conformité Ref2&lt;br/&gt;
[GX] Oups ! Attention. ça vient d'apparaitre donc je l'avais pas dans BIO ici. Du coup ça le recopie pas&lt;br/&gt;
On a bien une partie UX on on dit que le systeme doit permettre de cocher une case (par exemple) pour stopper les échanges ?&lt;br/&gt;
[EBR@GX] Pour moi c'est la seule exigence permettant de stopper les échanges. A reprendre coté BIO a priori&lt;br/&gt;
it1 Exigence non adaptée pour les besoins de gestion des BAL Applicatives par les applications du couloir hôpital. &lt;br/&gt;
Cet entête devrait être un choix de paramétrage d'un établissement de santé pour tous les messages transmis par une BAL Applicative. &lt;br/&gt;
[It1 : éditeur] Le couloir etablissement ne nous semble pas concerné&lt;/p&gt;
&lt;p&gt;it 1 impact LGC et Interop&lt;/p&gt;
&lt;p&gt;---IT#1 [EBR 12/10/2022] Effectivement ce mécanisme va remplacer celui consistant à indiqué [FIN] dans l'objet. Suivant les CU cette fonction pourrait être paramétrée pour un patient ou un groupe de patients, mais l'émetteur doit pouvoir y dérroger&lt;/p&gt;</t>
  </si>
  <si>
    <t>MSS/UX.39</t>
  </si>
  <si>
    <t>Le système DOIT permettre d'intégrer des documents CDA issus de pièce jointe XDM qui lui sont fournis par la PFI.</t>
  </si>
  <si>
    <t>&lt;p&gt;Le système DOIT permettre d'intégrer des documents CDA issus de pièce jointe XDM qui lui sont fournis par la PFI.&lt;/p&gt;</t>
  </si>
  <si>
    <t>&lt;p&gt;[ IT4 DPI Dedalus 23/01/2023 ] 04/01/2023 - Cette exigence faisait partie de la vague 1. Pourquoi la remettre dans la vague 2 ? N'est elle pas obsolète par rapport à l'exigence DPI.CDA/HL7.04 ?&lt;br/&gt;
[ IT4 DPI HM 23/01/2023 ] Ok&lt;br/&gt;
[ IT4 DPI Mediboard 23/01/2023 ] ok&lt;br/&gt;
[ IT4 LGC Aatlantide 23/01/2023 ] RAS&lt;br/&gt;
[ IT4 LGC Doctolib 23/01/2023 ] RAS&lt;br/&gt;
[ IT4 LGC Tamn 23/01/2023 ] ok--[import gsheet 14/12/2022] Modifications :  Status (ancien =  WORK_IN_PROGRESS)&lt;br/&gt;
[ IT3 LGC CGS 28/11/2022 ] quel est l'objectif de pouvoir faire cela pour le PS?&lt;br/&gt;
---IT3[ BATCH 16/11/2022 ] Précédent commentaire évolution : Nouvelle exigence pour compléter la SC.MSS/UX.01. &lt;br/&gt;
[OCL 03/11/2022]&lt;br/&gt;
/!\ à tous les LPS, à priori cette exigence s'applique à tous : c'est l'exigence qui permet au logiciel d'intégrer tous les documents reçus par messagerie et conforme au meilleur niveau de formatage de la PJ (ie le format IHE XDM). &lt;br/&gt;
Nouvelle exigence pour complèter la MSS/UX0.1 suite à une suggestion éditeur. &lt;/p&gt;
&lt;p&gt;[ IT2 HOP-PFI 30/10/2022 ] La partie intégration concerne le logiciel métier destinataire du document.&lt;br/&gt;
Proposition de reformulation et de séparation :&lt;br/&gt;
PFI : Le système DOIT être capable d'identifier les courriels reçus via MSSanté avec archive zip au format IHE XDM en pièce jointe.&lt;br/&gt;
DPI : Le système DOIT permettre d'intégrer / télécharger des documents CDA issus de pièce jointe XDM qui lui sont fournis par la PFI.&lt;/p&gt;</t>
  </si>
  <si>
    <t>SSI/IE.44</t>
  </si>
  <si>
    <t>SI le système permet la connexion d'un usager, ALORS lorsque l'usager s'inscrit par lui-même, le système DOIT imposer la vérification des attributs d'identité par l'un des moyens suivants :
 - FranceConnect+ ;
 - ApCV ;
 - A défaut :
      - Contrôle (manuel ou automatisé) d'une copie de pièce d'identité déposée sur le site ;
      - Service de vérification d'identité à distance (PVID) présentant des garanties objectives de fiabilité (même s'il n'est pas obligatoirement certifié) ;
      - Tout autre moyen offrant des garanties équivalentes.</t>
  </si>
  <si>
    <t>&lt;p&gt;Reformulation pour indiquer plus clairement les conditions.&lt;/p&gt;
&lt;p&gt;Conformément au référentiel d'identification électronique, cette exigence concerne l'ensemble des applications traitant des données de santé et qui permettent à un usager de s'inscrire en ligne (il n'y a pas de différence de traitement entre les éditeurs candidatant sur le Ségur et les autres).&lt;/p&gt;</t>
  </si>
  <si>
    <t>&lt;p&gt;SI le système permet la connexion d'un usager, ALORS lorsque l'usager s'inscrit par lui-même, le système DOIT imposer la vérification des attributs d'identité par l'un des moyens suivants :&lt;br/&gt;
- FranceConnect+ ;&lt;br/&gt;
- ApCV ;&lt;br/&gt;
- A défaut :&lt;br/&gt;
     - Contrôle (manuel ou automatisé) d'une copie de pièce d'identité déposée sur le site ;&lt;br/&gt;
     - Service de vérification d'identité à distance (PVID) présentant des garanties objectives de fiabilité (même s'il n'est pas obligatoirement certifié) ;&lt;br/&gt;
     - Tout autre moyen offrant des garanties équivalentes.&lt;/p&gt;</t>
  </si>
  <si>
    <t>&lt;p&gt;[IT4 ANS/SVE 31/01/2023] &lt;br/&gt;
- Reformulation&lt;br/&gt;
- Commentaires ajoutés&lt;/p&gt;
&lt;p&gt;[IT4 DPI Numeum ASINHPA] Ceci doit être conditionnel car des éditeurs ne sont pas concernés&lt;br/&gt;
[ IT4 BIO Dedalus 23/01/2023 ] Sans objet, le SIL est destiné au personnel du laboratoire. Il n'y a pas d'usagés externes.&lt;br/&gt;
[ IT4 DPI Berger Levrault 23/01/2023 ] Non concerné car notre DPI ne permet pas un accés à l'usager&lt;br/&gt;
[ IT4 DPI HM 23/01/2023 ] HM n'est pas concerné car l'utilisateur ne s'inscrit pas lui-même. Par contre oui pour Appfine mais est-ce dans le périmetre ? Est-ce que ce genre d'exigence ne devrait pas aller dans Mon Espace Santé… Car sinon on créé une discrimination pour les editeurs DPI, vs des startup qui font des app de leur coté qui seraient connectées au DPI et qui ne serait pas soumise a cette exigence....&lt;br/&gt;
[ IT4 DPI Mediboard 23/01/2023 ] ok&lt;br/&gt;
[ IT4 PFI HM 23/01/2023 ] Voir réponse DPI&lt;br/&gt;
[ IT4 PFI Maincare 23/01/2023 ] Proposition que  l'ensemble des exigences IE et IAM ne soient pas applicables dans les cas d'une PFI reposant sur une plateforme technique de type EAI, avec des fonctionnements automatiques sans connexion des utilisateurs métiers. Ces plateformes techniques sont accessibles à un petit nombre d'administrateurs de la DSI. Des mécanismes de sécurité hors RIE doivent sécuriser ces composants techniques, comme par exemple les préconisations qu'un établissement mettrait en oeuvre pour protéger une infrastructure VMWare.--[import gsheet 14/12/2022] Modifications :  Status (ancien =  WORK_IN_PROGRESS)&lt;br/&gt;
[ IT3 HOP-HOP-DPI EASILY 28/11/2022 ] cf retours ASINHPA&lt;br/&gt;
[ IT2 DB NEHS 30/10/2022 ] Il serait raisonnable de laisser un peu de temps pour passer a l'integration et au support de ces outils relativements réçents&lt;br/&gt;
[ IT2 HOP-DPI HM 30/10/2022 ] [SBR] en attente nouvelle itération&lt;br/&gt;
[ IT2 HOP-PFI HM 30/10/2022 ] [SBR] en attente nouvelle itération&lt;br/&gt;
---IT2 [BATCH 30/10/2022] insertion retours éditeurs&lt;br/&gt;
---IT1 [VCR 25/10/2022] Prise en compte des retours de l'itération 1. Les exigences IE usagers ont été positionnées dans un profil spécifique afin de clarifier le périmètre des solutions concernées. Pas de mise à jour de l'exigence&lt;br/&gt;
---IT1 [VCR 14/10/2022] 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spécifique.&lt;br/&gt;
Warning "commentaires de l'IT1 en cours d'instruction" à positionner&lt;br/&gt;
[IT1 / LGC] Tamm/Mediboard pas concerné. Pour AppFIne FranceConnect en cours et intégration à MES&lt;br/&gt;
[IT1 / LGC] Les patients ne sont pas utilisateurs du LGC&lt;br/&gt;
[IT1 / HOP] Tamm/Mediboard pas concerné. Pour AppFIne FranceConnect en cours et intégration à MES&lt;br/&gt;
[IT1 / HOP] Exigence DPI selon nous.&lt;br/&gt;
[IT1 / LGC] Place et rôle de PSC dans ce mécanisme ?&lt;br/&gt;
[IT1 / BIO ] Qu'entendez-vous par 's'incrire par lui-même? Quelle la différence entre les moyens de vérifications mentionnés et PSC?&lt;br/&gt;
[IT1 / BIO] L'application n'est pas accessible par un usager.&lt;br/&gt;
Exigence non applicable&lt;br/&gt;
[DPROD] : @BL : cela peut etre utile pour les cabinets egalement&lt;br/&gt;
[SONS LGC] [BL] pour centres de santé uniquement donc 2e itération MDV ?&lt;br/&gt;
[VCR] Cette exigence s'adresse aux solutions qui permettent l'accès d'usagers/patients pour des fonctionnalités spécifiques. Ex: consultation de résultats d'analyses. A voir si le cas d'usage existe parmi les TF Ségur et le cas échéant si l'on peut facilement identifier de façon complète les TF concernées (pour l'intégralité des candidats). Sinon création d'un profil spécifique?&lt;/p&gt;
&lt;p&gt;it1&lt;br/&gt;
Hors-sujet : la DRIM box n'a pas vocation, pour l'instant, à être accédée par le patient. Par ailleurs, il s'agit de la répétition de l'exigence SSI IE.Usagers.1 actuellement en concertation.&lt;br/&gt;
[It1 : éditeur] que fait on si pas d'accès possible aux usagers ?&lt;br/&gt;
it 1 Il nous semblait que le périmètre des SGL n'incluait ni les serveurs de prescriptions, ni les serveurs de résultats interne, ni les serveurs de résultats patient. Est-ce le cas ? Quel est le cas d'usage d'une authentification usager ?&lt;br/&gt;
Toutes les exigences usagers devraient être conditionnées à un type de solution spécifique.&lt;/p&gt;</t>
  </si>
  <si>
    <t>ORDN/CONF.04</t>
  </si>
  <si>
    <t xml:space="preserve">Le système PEUT permettre l’enregistrement de la prescription de produits de santé (Type_Code 57833-6) dans le workflow Ordonnance numérique puis son envoi au DMP, dès sa validation, aux formats CDA R2 N3 et CDA R2 N1 (PDF).  
En cas d'échec du processus Ordonnance numérique (envoi vers les serveurs CNAM), le système DOIT envoyer la prescription de produits de santé au format CDA R2 N3 et CDA R2 N1 (PDF) sans l’apposition du datamatrix Ordonnance numérique au DMP. </t>
  </si>
  <si>
    <t>&lt;p&gt;non essentiel pour un RIS (circuit interne produits de contraste / radiopharmacetiques) &lt;/p&gt;</t>
  </si>
  <si>
    <t>&lt;p&gt;Le système PEUT permettre l’enregistrement de la prescription de produits de santé (Type_Code 57833-6) dans le workflow Ordonnance numérique puis son envoi au DMP, dès sa validation, aux formats CDA R2 N3 et CDA R2 N1 (PDF).  &lt;br/&gt;
En cas d'échec du processus Ordonnance numérique (envoi vers les serveurs CNAM), le système DOIT envoyer la prescription de produits de santé au format CDA R2 N3 et CDA R2 N1 (PDF) sans l’apposition du datamatrix Ordonnance numérique au DMP. &lt;/p&gt;</t>
  </si>
  <si>
    <t>&lt;p&gt;[M.H 14/02/2023] : Ancienne LGC.PRESC.03 reprise dans le socle &lt;/p&gt;
&lt;p&gt;[OCL 09/12/2022] Il faut couper en 3 exigences :&lt;br/&gt;
- la compatibilité avec ordonnace numérique V2.0&lt;br/&gt;
- CD R2 N3 CI-SIS eP-MED-DM pour les produits de santé avec envoi en // du CDA R2 N1&lt;br/&gt;
- CDA R2 N1 seul pour les autres prescriptions&lt;br/&gt;
Aussi :&lt;br/&gt;
- vérifier que l'envoi par MSS-C de la prescription est bien couvert par une autre exigence&lt;br/&gt;
- est-ce que le volet eP-MED-DM fait consensus ANS / CNAM / DNS / industriels ?&lt;br/&gt;
[ESO 9/12/22] Exigence applicable à MdV &lt;/p&gt;</t>
  </si>
  <si>
    <t>Le Système DOIT offrir des modalités d'alimentation du DMP avec l'ensemble des documents concernant un patient et présents dans le logiciel, avec :
- Des filtres par défaut :
(i) caractère non-décédé du patient, tel qu'éventuellement référencé dans le système et/ou détectés via une confrontation par https://deces.matchid.io
(ii) INS qualifiée dans le dossier du patient
(iii) document non préalablement déjà alimenté avec succès au DMP
(iv) case d'opposition à l'alimentation au DMP pour motif légitime non cochée
- Des éléments fonctionnels paramétrables :
(i) Types de documents locaux à envoyer, avec un mapping proposé sur les typecode DMP, si ce paramétrage n'est pas déjà proposé ailleurs
(ii) Antériorité de la reprise, en permettant de paramétrer 'depuis X années, mois ou jours' ou avec une date de début et une date de fin
(iii) la possibilité d'envoyer à la demande tous les documents d'un patient lors de la validation d'un accueil, permettant de reconstituer si besoin l'historique en lien avec le rendez-vous du jour
(iv) la possibilité de pouvoir envoyer tout l'historique de certains actes CCAM ou groupes d'actes, les conditions de regroupements possibles seront précisées lors de la prochaine itération</t>
  </si>
  <si>
    <t>&lt;p&gt;Le Système DOIT offrir des modalités d'alimentation du DMP avec l'ensemble des documents concernant un patient et présents dans le logiciel, avec :&lt;br/&gt;
- Des filtres par défaut :&lt;br/&gt;
(i) caractère non-décédé du patient, tel qu'éventuellement référencé dans le système et/ou détectés via une confrontation par https://deces.matchid.io&lt;br/&gt;
(ii) INS qualifiée dans le dossier du patient&lt;br/&gt;
(iii) document non préalablement déjà alimenté avec succès au DMP&lt;br/&gt;
(iv) case d'opposition à l'alimentation au DMP pour motif légitime non cochée&lt;/p&gt;</t>
  </si>
  <si>
    <t>&lt;p&gt;Le Système DOIT offrir des modalités d'alimentation du DMP avec l'ensemble des documents concernant un patient et présents dans le logiciel, avec :&lt;br/&gt;
- Des filtres par défaut :&lt;br/&gt;
(i) caractère non-décédé du patient, tel qu'éventuellement référencé dans le système et/ou détectés via une confrontation par https://deces.matchid.io&lt;br/&gt;
(ii) INS qualifiée dans le dossier du patient&lt;br/&gt;
(iii) document non préalablement déjà alimenté avec succès au DMP&lt;br/&gt;
(iv) case d'opposition à l'alimentation au DMP pour motif légitime non cochée&lt;br/&gt;
- Des éléments fonctionnels paramétrables :&lt;br/&gt;
(i) Types de documents locaux à envoyer, avec un mapping proposé sur les typecode DMP, si ce paramétrage n'est pas déjà proposé ailleurs&lt;br/&gt;
(ii) Antériorité de la reprise, en permettant de paramétrer 'depuis X années, mois ou jours' ou avec une date de début et une date de fin&lt;br/&gt;
(iii) la possibilité d'envoyer à la demande tous les documents d'un patient lors de la validation d'un accueil, permettant de reconstituer si besoin l'historique en lien avec le rendez-vous du jour&lt;br/&gt;
(iv) la possibilité de pouvoir envoyer tout l'historique de certains actes CCAM ou groupes d'actes, les conditions de regroupements possibles seront précisées lors de la prochaine itération&lt;/p&gt;</t>
  </si>
  <si>
    <t>AAT/CONF.01 : ok</t>
  </si>
  <si>
    <t>PSC.10 : ok après modification du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</si>
</sst>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4"/>
      <color theme="1"/>
      <name val="Calibri"/>
      <family val="2"/>
      <scheme val="minor"/>
    </font>
    <font>
      <sz val="8"/>
      <name val="Calibri"/>
      <family val="2"/>
      <scheme val="minor"/>
    </font>
    <font>
      <sz val="14"/>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NumberFormat="1"/>
  </cellXfs>
  <cellStyles count="1">
    <cellStyle name="Normal" xfId="0" builtinId="0"/>
  </cellStyles>
  <dxfs count="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10</xdr:row>
          <xdr:rowOff>228600</xdr:rowOff>
        </xdr:from>
        <xdr:to>
          <xdr:col>1</xdr:col>
          <xdr:colOff>1304925</xdr:colOff>
          <xdr:row>12</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GO</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3" xr16:uid="{D06361B7-7575-477B-B9A7-B3186495D4B5}" autoFormatId="16" applyNumberFormats="0" applyBorderFormats="0" applyFontFormats="0" applyPatternFormats="0" applyAlignmentFormats="0" applyWidthHeightFormats="0">
  <queryTableRefresh nextId="418">
    <queryTableFields count="10">
      <queryTableField id="1" name="ACTION" tableColumnId="1"/>
      <queryTableField id="2" name="REQ_ID" tableColumnId="2"/>
      <queryTableField id="3" name="REQ_VERSION_REFERENCE" tableColumnId="3"/>
      <queryTableField id="412" name="Description_rem" tableColumnId="4"/>
      <queryTableField id="5" name="REQ_VERSION_CUF_PROFIL" tableColumnId="5"/>
      <queryTableField id="6" name="REQ_VERSION_STATUS" tableColumnId="6"/>
      <queryTableField id="7" name="REQ_VERSION_CUF_COM_LAST_EVOL" tableColumnId="7"/>
      <queryTableField id="8" name="REQ_VERSION_DESCRIPTION" tableColumnId="8"/>
      <queryTableField id="81" name="REQ_VERSION_CUF_NOTE_INTERNE" tableColumnId="13"/>
      <queryTableField id="10" name="REQ_VERSION_CUF_VERSION_IMPORT" tableColumnId="10"/>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CDC4AE-9E59-40F9-A1DD-8120B7FDFA55}" name="Tableau1" displayName="Tableau1" ref="B3:B4" totalsRowShown="0">
  <autoFilter ref="B3:B4" xr:uid="{94CDC4AE-9E59-40F9-A1DD-8120B7FDFA55}"/>
  <tableColumns count="1">
    <tableColumn id="1" xr3:uid="{CE212961-E7BA-40ED-9618-546D3FDDA721}" name="input_fil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FCBA8D-3C6E-4F21-AB85-3CEEDC5B6AB1}" name="Tableau3" displayName="Tableau3" ref="B7:B8" totalsRowShown="0">
  <autoFilter ref="B7:B8" xr:uid="{1BFCBA8D-3C6E-4F21-AB85-3CEEDC5B6AB1}"/>
  <tableColumns count="1">
    <tableColumn id="1" xr3:uid="{0EFA14C3-8930-4CA4-A574-B791B7146797}" name="input_tab"/>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3187EC0-4D9A-40DA-A24D-25F64BE36393}" name="update_rem_sc" displayName="update_rem_sc" ref="A1:J29" tableType="queryTable" totalsRowShown="0">
  <autoFilter ref="A1:J29" xr:uid="{93187EC0-4D9A-40DA-A24D-25F64BE36393}"/>
  <tableColumns count="10">
    <tableColumn id="1" xr3:uid="{14FA5E9F-103D-426E-B7D0-18DFD4CCE61E}" uniqueName="1" name="ACTION" queryTableFieldId="1" dataDxfId="7"/>
    <tableColumn id="2" xr3:uid="{5AC5AC61-3152-4174-81E8-4D23297CF29B}" uniqueName="2" name="REQ_ID" queryTableFieldId="2" dataDxfId="6"/>
    <tableColumn id="3" xr3:uid="{05DDBF92-5739-49DD-BF77-D1E02503FE12}" uniqueName="3" name="REQ_VERSION_REFERENCE" queryTableFieldId="3" dataDxfId="5"/>
    <tableColumn id="4" xr3:uid="{17D00D62-55B3-4DFA-AE88-81EE23657CDA}" uniqueName="4" name="Description_rem" queryTableFieldId="412"/>
    <tableColumn id="5" xr3:uid="{31D1B683-5E00-4FFA-8CCC-13C9A449D2A4}" uniqueName="5" name="REQ_VERSION_CUF_PROFIL" queryTableFieldId="5" dataDxfId="4"/>
    <tableColumn id="6" xr3:uid="{8CC59699-C9C1-4C4A-B952-8EB6279C8EED}" uniqueName="6" name="REQ_VERSION_STATUS" queryTableFieldId="6" dataDxfId="3"/>
    <tableColumn id="7" xr3:uid="{DC05C1C7-E2D6-46C0-AAD3-34B7E7A03865}" uniqueName="7" name="REQ_VERSION_CUF_COM_LAST_EVOL" queryTableFieldId="7" dataDxfId="2"/>
    <tableColumn id="8" xr3:uid="{D184B45C-FD7A-4A34-8180-112782E21B41}" uniqueName="8" name="REQ_VERSION_DESCRIPTION" queryTableFieldId="8" dataDxfId="1"/>
    <tableColumn id="13" xr3:uid="{B707E343-D0B3-4CD5-9559-8FDB08939B65}" uniqueName="13" name="REQ_VERSION_CUF_NOTE_INTERNE" queryTableFieldId="81"/>
    <tableColumn id="10" xr3:uid="{F1C23935-FB96-4124-B4F4-644735E1F110}" uniqueName="10" name="REQ_VERSION_CUF_VERSION_IMPORT" queryTableFieldId="10" dataDxfId="0"/>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3433-5FB5-4A56-9296-78BEE2987051}">
  <sheetPr codeName="Feuil1"/>
  <dimension ref="B3:B8"/>
  <sheetViews>
    <sheetView tabSelected="1" workbookViewId="0">
      <selection activeCell="B18" sqref="B18"/>
    </sheetView>
  </sheetViews>
  <sheetFormatPr baseColWidth="10" defaultRowHeight="18.75" x14ac:dyDescent="0.3"/>
  <cols>
    <col min="2" max="2" width="89.8984375" customWidth="1"/>
  </cols>
  <sheetData>
    <row r="3" spans="2:2" x14ac:dyDescent="0.3">
      <c r="B3" t="s">
        <v>0</v>
      </c>
    </row>
    <row r="4" spans="2:2" x14ac:dyDescent="0.3">
      <c r="B4" t="s">
        <v>2</v>
      </c>
    </row>
    <row r="7" spans="2:2" x14ac:dyDescent="0.3">
      <c r="B7" t="s">
        <v>1</v>
      </c>
    </row>
    <row r="8" spans="2:2" x14ac:dyDescent="0.3">
      <c r="B8" t="s">
        <v>57</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main">
                <anchor moveWithCells="1" sizeWithCells="1">
                  <from>
                    <xdr:col>1</xdr:col>
                    <xdr:colOff>9525</xdr:colOff>
                    <xdr:row>10</xdr:row>
                    <xdr:rowOff>228600</xdr:rowOff>
                  </from>
                  <to>
                    <xdr:col>1</xdr:col>
                    <xdr:colOff>1304925</xdr:colOff>
                    <xdr:row>12</xdr:row>
                    <xdr:rowOff>85725</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704D-71E9-49DC-9CA1-B581149E10D4}">
  <sheetPr codeName="Feuil4"/>
  <dimension ref="A1:E207"/>
  <sheetViews>
    <sheetView workbookViewId="0">
      <selection activeCell="A29" sqref="A29"/>
    </sheetView>
  </sheetViews>
  <sheetFormatPr baseColWidth="10" defaultRowHeight="18.75" x14ac:dyDescent="0.3"/>
  <cols>
    <col min="4" max="4" width="64.59765625" customWidth="1"/>
  </cols>
  <sheetData>
    <row r="1" spans="1:5" x14ac:dyDescent="0.3">
      <c r="A1">
        <v>28310</v>
      </c>
      <c r="B1" t="s">
        <v>172</v>
      </c>
      <c r="E1" t="str">
        <f>IF(B1="","",IF(ISNUMBER(SEARCH("ERROR",B1,1)),"ERROR","-"))</f>
        <v>-</v>
      </c>
    </row>
    <row r="2" spans="1:5" x14ac:dyDescent="0.3">
      <c r="A2">
        <v>34078</v>
      </c>
      <c r="B2" t="s">
        <v>15</v>
      </c>
      <c r="E2" t="str">
        <f t="shared" ref="E2:E65" si="0">IF(B2="","",IF(ISNUMBER(SEARCH("ERROR",B2,1)),"ERROR","-"))</f>
        <v>-</v>
      </c>
    </row>
    <row r="3" spans="1:5" x14ac:dyDescent="0.3">
      <c r="A3">
        <v>28292</v>
      </c>
      <c r="B3" t="s">
        <v>16</v>
      </c>
      <c r="E3" t="str">
        <f t="shared" si="0"/>
        <v>-</v>
      </c>
    </row>
    <row r="4" spans="1:5" x14ac:dyDescent="0.3">
      <c r="A4">
        <v>34372</v>
      </c>
      <c r="B4" t="s">
        <v>17</v>
      </c>
      <c r="E4" t="str">
        <f t="shared" si="0"/>
        <v>-</v>
      </c>
    </row>
    <row r="5" spans="1:5" x14ac:dyDescent="0.3">
      <c r="A5">
        <v>34148</v>
      </c>
      <c r="B5" t="s">
        <v>18</v>
      </c>
      <c r="E5" t="str">
        <f t="shared" si="0"/>
        <v>-</v>
      </c>
    </row>
    <row r="6" spans="1:5" x14ac:dyDescent="0.3">
      <c r="A6">
        <v>34164</v>
      </c>
      <c r="B6" t="s">
        <v>19</v>
      </c>
      <c r="E6" t="str">
        <f t="shared" si="0"/>
        <v>-</v>
      </c>
    </row>
    <row r="7" spans="1:5" x14ac:dyDescent="0.3">
      <c r="A7">
        <v>34388</v>
      </c>
      <c r="B7" t="s">
        <v>20</v>
      </c>
      <c r="E7" t="str">
        <f t="shared" si="0"/>
        <v>-</v>
      </c>
    </row>
    <row r="8" spans="1:5" x14ac:dyDescent="0.3">
      <c r="A8">
        <v>20864</v>
      </c>
      <c r="B8" t="s">
        <v>35</v>
      </c>
      <c r="E8" t="str">
        <f t="shared" si="0"/>
        <v>-</v>
      </c>
    </row>
    <row r="9" spans="1:5" x14ac:dyDescent="0.3">
      <c r="A9">
        <v>34391</v>
      </c>
      <c r="B9" t="s">
        <v>23</v>
      </c>
      <c r="E9" t="str">
        <f t="shared" si="0"/>
        <v>-</v>
      </c>
    </row>
    <row r="10" spans="1:5" x14ac:dyDescent="0.3">
      <c r="A10">
        <v>20851</v>
      </c>
      <c r="B10" t="s">
        <v>36</v>
      </c>
      <c r="E10" t="str">
        <f t="shared" si="0"/>
        <v>-</v>
      </c>
    </row>
    <row r="11" spans="1:5" x14ac:dyDescent="0.3">
      <c r="A11">
        <v>34545</v>
      </c>
      <c r="B11" t="s">
        <v>35</v>
      </c>
      <c r="E11" t="str">
        <f t="shared" si="0"/>
        <v>-</v>
      </c>
    </row>
    <row r="12" spans="1:5" x14ac:dyDescent="0.3">
      <c r="A12">
        <v>34403</v>
      </c>
      <c r="B12" t="s">
        <v>24</v>
      </c>
      <c r="E12" t="str">
        <f t="shared" si="0"/>
        <v>-</v>
      </c>
    </row>
    <row r="13" spans="1:5" x14ac:dyDescent="0.3">
      <c r="A13">
        <v>34397</v>
      </c>
      <c r="B13" t="s">
        <v>24</v>
      </c>
      <c r="E13" t="str">
        <f t="shared" si="0"/>
        <v>-</v>
      </c>
    </row>
    <row r="14" spans="1:5" x14ac:dyDescent="0.3">
      <c r="A14">
        <v>34412</v>
      </c>
      <c r="B14" t="s">
        <v>25</v>
      </c>
      <c r="E14" t="str">
        <f t="shared" si="0"/>
        <v>-</v>
      </c>
    </row>
    <row r="15" spans="1:5" x14ac:dyDescent="0.3">
      <c r="A15">
        <v>34416</v>
      </c>
      <c r="B15" t="s">
        <v>26</v>
      </c>
      <c r="E15" t="str">
        <f t="shared" si="0"/>
        <v>-</v>
      </c>
    </row>
    <row r="16" spans="1:5" x14ac:dyDescent="0.3">
      <c r="A16">
        <v>34419</v>
      </c>
      <c r="B16" t="s">
        <v>27</v>
      </c>
      <c r="E16" t="str">
        <f t="shared" si="0"/>
        <v>-</v>
      </c>
    </row>
    <row r="17" spans="1:5" x14ac:dyDescent="0.3">
      <c r="A17">
        <v>34422</v>
      </c>
      <c r="B17" t="s">
        <v>27</v>
      </c>
      <c r="E17" t="str">
        <f t="shared" si="0"/>
        <v>-</v>
      </c>
    </row>
    <row r="18" spans="1:5" x14ac:dyDescent="0.3">
      <c r="A18">
        <v>34430</v>
      </c>
      <c r="B18" t="s">
        <v>28</v>
      </c>
      <c r="E18" t="str">
        <f t="shared" si="0"/>
        <v>-</v>
      </c>
    </row>
    <row r="19" spans="1:5" x14ac:dyDescent="0.3">
      <c r="A19">
        <v>20912</v>
      </c>
      <c r="B19" t="s">
        <v>37</v>
      </c>
      <c r="E19" t="str">
        <f t="shared" si="0"/>
        <v>-</v>
      </c>
    </row>
    <row r="20" spans="1:5" x14ac:dyDescent="0.3">
      <c r="A20">
        <v>21340</v>
      </c>
      <c r="B20" t="s">
        <v>29</v>
      </c>
      <c r="E20" t="str">
        <f t="shared" si="0"/>
        <v>-</v>
      </c>
    </row>
    <row r="21" spans="1:5" x14ac:dyDescent="0.3">
      <c r="A21">
        <v>34596</v>
      </c>
      <c r="B21" t="s">
        <v>173</v>
      </c>
      <c r="E21" t="str">
        <f t="shared" si="0"/>
        <v>-</v>
      </c>
    </row>
    <row r="22" spans="1:5" x14ac:dyDescent="0.3">
      <c r="A22">
        <v>21310</v>
      </c>
      <c r="B22" t="s">
        <v>30</v>
      </c>
      <c r="E22" t="str">
        <f t="shared" si="0"/>
        <v>-</v>
      </c>
    </row>
    <row r="23" spans="1:5" x14ac:dyDescent="0.3">
      <c r="A23">
        <v>34173</v>
      </c>
      <c r="B23" t="s">
        <v>38</v>
      </c>
      <c r="E23" t="str">
        <f t="shared" si="0"/>
        <v>-</v>
      </c>
    </row>
    <row r="24" spans="1:5" x14ac:dyDescent="0.3">
      <c r="A24">
        <v>27076</v>
      </c>
      <c r="B24" t="s">
        <v>31</v>
      </c>
      <c r="E24" t="str">
        <f t="shared" si="0"/>
        <v>-</v>
      </c>
    </row>
    <row r="25" spans="1:5" x14ac:dyDescent="0.3">
      <c r="A25">
        <v>20975</v>
      </c>
      <c r="B25" t="s">
        <v>39</v>
      </c>
      <c r="E25" t="str">
        <f t="shared" si="0"/>
        <v>-</v>
      </c>
    </row>
    <row r="26" spans="1:5" x14ac:dyDescent="0.3">
      <c r="A26">
        <v>28312</v>
      </c>
      <c r="B26" t="s">
        <v>172</v>
      </c>
      <c r="E26" t="str">
        <f t="shared" si="0"/>
        <v>-</v>
      </c>
    </row>
    <row r="27" spans="1:5" x14ac:dyDescent="0.3">
      <c r="A27">
        <v>34458</v>
      </c>
      <c r="B27" t="s">
        <v>33</v>
      </c>
      <c r="E27" t="str">
        <f t="shared" si="0"/>
        <v>-</v>
      </c>
    </row>
    <row r="28" spans="1:5" x14ac:dyDescent="0.3">
      <c r="A28">
        <v>34152</v>
      </c>
      <c r="B28" t="s">
        <v>18</v>
      </c>
      <c r="E28" t="str">
        <f t="shared" si="0"/>
        <v>-</v>
      </c>
    </row>
    <row r="29" spans="1:5" x14ac:dyDescent="0.3">
      <c r="E29" t="str">
        <f t="shared" si="0"/>
        <v/>
      </c>
    </row>
    <row r="30" spans="1:5" x14ac:dyDescent="0.3">
      <c r="E30" t="str">
        <f t="shared" si="0"/>
        <v/>
      </c>
    </row>
    <row r="31" spans="1:5" x14ac:dyDescent="0.3">
      <c r="E31" t="str">
        <f t="shared" si="0"/>
        <v/>
      </c>
    </row>
    <row r="32" spans="1:5" x14ac:dyDescent="0.3">
      <c r="E32" t="str">
        <f t="shared" si="0"/>
        <v/>
      </c>
    </row>
    <row r="33" spans="5:5" x14ac:dyDescent="0.3">
      <c r="E33" t="str">
        <f t="shared" si="0"/>
        <v/>
      </c>
    </row>
    <row r="34" spans="5:5" x14ac:dyDescent="0.3">
      <c r="E34" t="str">
        <f t="shared" si="0"/>
        <v/>
      </c>
    </row>
    <row r="35" spans="5:5" x14ac:dyDescent="0.3">
      <c r="E35" t="str">
        <f t="shared" si="0"/>
        <v/>
      </c>
    </row>
    <row r="36" spans="5:5" x14ac:dyDescent="0.3">
      <c r="E36" t="str">
        <f t="shared" si="0"/>
        <v/>
      </c>
    </row>
    <row r="37" spans="5:5" x14ac:dyDescent="0.3">
      <c r="E37" t="str">
        <f t="shared" si="0"/>
        <v/>
      </c>
    </row>
    <row r="38" spans="5:5" x14ac:dyDescent="0.3">
      <c r="E38" t="str">
        <f t="shared" si="0"/>
        <v/>
      </c>
    </row>
    <row r="39" spans="5:5" x14ac:dyDescent="0.3">
      <c r="E39" t="str">
        <f t="shared" si="0"/>
        <v/>
      </c>
    </row>
    <row r="40" spans="5:5" x14ac:dyDescent="0.3">
      <c r="E40" t="str">
        <f t="shared" si="0"/>
        <v/>
      </c>
    </row>
    <row r="41" spans="5:5" x14ac:dyDescent="0.3">
      <c r="E41" t="str">
        <f t="shared" si="0"/>
        <v/>
      </c>
    </row>
    <row r="42" spans="5:5" x14ac:dyDescent="0.3">
      <c r="E42" t="str">
        <f t="shared" si="0"/>
        <v/>
      </c>
    </row>
    <row r="43" spans="5:5" x14ac:dyDescent="0.3">
      <c r="E43" t="str">
        <f t="shared" si="0"/>
        <v/>
      </c>
    </row>
    <row r="44" spans="5:5" x14ac:dyDescent="0.3">
      <c r="E44" t="str">
        <f t="shared" si="0"/>
        <v/>
      </c>
    </row>
    <row r="45" spans="5:5" x14ac:dyDescent="0.3">
      <c r="E45" t="str">
        <f t="shared" si="0"/>
        <v/>
      </c>
    </row>
    <row r="46" spans="5:5" x14ac:dyDescent="0.3">
      <c r="E46" t="str">
        <f t="shared" si="0"/>
        <v/>
      </c>
    </row>
    <row r="47" spans="5:5" x14ac:dyDescent="0.3">
      <c r="E47" t="str">
        <f t="shared" si="0"/>
        <v/>
      </c>
    </row>
    <row r="48" spans="5:5" x14ac:dyDescent="0.3">
      <c r="E48" t="str">
        <f t="shared" si="0"/>
        <v/>
      </c>
    </row>
    <row r="49" spans="5:5" x14ac:dyDescent="0.3">
      <c r="E49" t="str">
        <f t="shared" si="0"/>
        <v/>
      </c>
    </row>
    <row r="50" spans="5:5" x14ac:dyDescent="0.3">
      <c r="E50" t="str">
        <f t="shared" si="0"/>
        <v/>
      </c>
    </row>
    <row r="51" spans="5:5" x14ac:dyDescent="0.3">
      <c r="E51" t="str">
        <f t="shared" si="0"/>
        <v/>
      </c>
    </row>
    <row r="52" spans="5:5" x14ac:dyDescent="0.3">
      <c r="E52" t="str">
        <f t="shared" si="0"/>
        <v/>
      </c>
    </row>
    <row r="53" spans="5:5" x14ac:dyDescent="0.3">
      <c r="E53" t="str">
        <f t="shared" si="0"/>
        <v/>
      </c>
    </row>
    <row r="54" spans="5:5" x14ac:dyDescent="0.3">
      <c r="E54" t="str">
        <f t="shared" si="0"/>
        <v/>
      </c>
    </row>
    <row r="55" spans="5:5" x14ac:dyDescent="0.3">
      <c r="E55" t="str">
        <f t="shared" si="0"/>
        <v/>
      </c>
    </row>
    <row r="56" spans="5:5" x14ac:dyDescent="0.3">
      <c r="E56" t="str">
        <f t="shared" si="0"/>
        <v/>
      </c>
    </row>
    <row r="57" spans="5:5" x14ac:dyDescent="0.3">
      <c r="E57" t="str">
        <f t="shared" si="0"/>
        <v/>
      </c>
    </row>
    <row r="58" spans="5:5" x14ac:dyDescent="0.3">
      <c r="E58" t="str">
        <f t="shared" si="0"/>
        <v/>
      </c>
    </row>
    <row r="59" spans="5:5" x14ac:dyDescent="0.3">
      <c r="E59" t="str">
        <f t="shared" si="0"/>
        <v/>
      </c>
    </row>
    <row r="60" spans="5:5" x14ac:dyDescent="0.3">
      <c r="E60" t="str">
        <f t="shared" si="0"/>
        <v/>
      </c>
    </row>
    <row r="61" spans="5:5" x14ac:dyDescent="0.3">
      <c r="E61" t="str">
        <f t="shared" si="0"/>
        <v/>
      </c>
    </row>
    <row r="62" spans="5:5" x14ac:dyDescent="0.3">
      <c r="E62" t="str">
        <f t="shared" si="0"/>
        <v/>
      </c>
    </row>
    <row r="63" spans="5:5" x14ac:dyDescent="0.3">
      <c r="E63" t="str">
        <f t="shared" si="0"/>
        <v/>
      </c>
    </row>
    <row r="64" spans="5:5" x14ac:dyDescent="0.3">
      <c r="E64" t="str">
        <f t="shared" si="0"/>
        <v/>
      </c>
    </row>
    <row r="65" spans="5:5" x14ac:dyDescent="0.3">
      <c r="E65" t="str">
        <f t="shared" si="0"/>
        <v/>
      </c>
    </row>
    <row r="66" spans="5:5" x14ac:dyDescent="0.3">
      <c r="E66" t="str">
        <f t="shared" ref="E66:E129" si="1">IF(B66="","",IF(ISNUMBER(SEARCH("ERROR",B66,1)),"ERROR","-"))</f>
        <v/>
      </c>
    </row>
    <row r="67" spans="5:5" x14ac:dyDescent="0.3">
      <c r="E67" t="str">
        <f t="shared" si="1"/>
        <v/>
      </c>
    </row>
    <row r="68" spans="5:5" x14ac:dyDescent="0.3">
      <c r="E68" t="str">
        <f t="shared" si="1"/>
        <v/>
      </c>
    </row>
    <row r="69" spans="5:5" x14ac:dyDescent="0.3">
      <c r="E69" t="str">
        <f t="shared" si="1"/>
        <v/>
      </c>
    </row>
    <row r="70" spans="5:5" x14ac:dyDescent="0.3">
      <c r="E70" t="str">
        <f t="shared" si="1"/>
        <v/>
      </c>
    </row>
    <row r="71" spans="5:5" x14ac:dyDescent="0.3">
      <c r="E71" t="str">
        <f t="shared" si="1"/>
        <v/>
      </c>
    </row>
    <row r="72" spans="5:5" x14ac:dyDescent="0.3">
      <c r="E72" t="str">
        <f t="shared" si="1"/>
        <v/>
      </c>
    </row>
    <row r="73" spans="5:5" x14ac:dyDescent="0.3">
      <c r="E73" t="str">
        <f t="shared" si="1"/>
        <v/>
      </c>
    </row>
    <row r="74" spans="5:5" x14ac:dyDescent="0.3">
      <c r="E74" t="str">
        <f t="shared" si="1"/>
        <v/>
      </c>
    </row>
    <row r="75" spans="5:5" x14ac:dyDescent="0.3">
      <c r="E75" t="str">
        <f t="shared" si="1"/>
        <v/>
      </c>
    </row>
    <row r="76" spans="5:5" x14ac:dyDescent="0.3">
      <c r="E76" t="str">
        <f t="shared" si="1"/>
        <v/>
      </c>
    </row>
    <row r="77" spans="5:5" x14ac:dyDescent="0.3">
      <c r="E77" t="str">
        <f t="shared" si="1"/>
        <v/>
      </c>
    </row>
    <row r="78" spans="5:5" x14ac:dyDescent="0.3">
      <c r="E78" t="str">
        <f t="shared" si="1"/>
        <v/>
      </c>
    </row>
    <row r="79" spans="5:5" x14ac:dyDescent="0.3">
      <c r="E79" t="str">
        <f t="shared" si="1"/>
        <v/>
      </c>
    </row>
    <row r="80" spans="5:5" x14ac:dyDescent="0.3">
      <c r="E80" t="str">
        <f t="shared" si="1"/>
        <v/>
      </c>
    </row>
    <row r="81" spans="5:5" x14ac:dyDescent="0.3">
      <c r="E81" t="str">
        <f t="shared" si="1"/>
        <v/>
      </c>
    </row>
    <row r="82" spans="5:5" x14ac:dyDescent="0.3">
      <c r="E82" t="str">
        <f t="shared" si="1"/>
        <v/>
      </c>
    </row>
    <row r="83" spans="5:5" x14ac:dyDescent="0.3">
      <c r="E83" t="str">
        <f t="shared" si="1"/>
        <v/>
      </c>
    </row>
    <row r="84" spans="5:5" x14ac:dyDescent="0.3">
      <c r="E84" t="str">
        <f t="shared" si="1"/>
        <v/>
      </c>
    </row>
    <row r="85" spans="5:5" x14ac:dyDescent="0.3">
      <c r="E85" t="str">
        <f t="shared" si="1"/>
        <v/>
      </c>
    </row>
    <row r="86" spans="5:5" x14ac:dyDescent="0.3">
      <c r="E86" t="str">
        <f t="shared" si="1"/>
        <v/>
      </c>
    </row>
    <row r="87" spans="5:5" x14ac:dyDescent="0.3">
      <c r="E87" t="str">
        <f t="shared" si="1"/>
        <v/>
      </c>
    </row>
    <row r="88" spans="5:5" x14ac:dyDescent="0.3">
      <c r="E88" t="str">
        <f t="shared" si="1"/>
        <v/>
      </c>
    </row>
    <row r="89" spans="5:5" x14ac:dyDescent="0.3">
      <c r="E89" t="str">
        <f t="shared" si="1"/>
        <v/>
      </c>
    </row>
    <row r="90" spans="5:5" x14ac:dyDescent="0.3">
      <c r="E90" t="str">
        <f t="shared" si="1"/>
        <v/>
      </c>
    </row>
    <row r="91" spans="5:5" x14ac:dyDescent="0.3">
      <c r="E91" t="str">
        <f t="shared" si="1"/>
        <v/>
      </c>
    </row>
    <row r="92" spans="5:5" x14ac:dyDescent="0.3">
      <c r="E92" t="str">
        <f t="shared" si="1"/>
        <v/>
      </c>
    </row>
    <row r="93" spans="5:5" x14ac:dyDescent="0.3">
      <c r="E93" t="str">
        <f t="shared" si="1"/>
        <v/>
      </c>
    </row>
    <row r="94" spans="5:5" x14ac:dyDescent="0.3">
      <c r="E94" t="str">
        <f t="shared" si="1"/>
        <v/>
      </c>
    </row>
    <row r="95" spans="5:5" x14ac:dyDescent="0.3">
      <c r="E95" t="str">
        <f t="shared" si="1"/>
        <v/>
      </c>
    </row>
    <row r="96" spans="5:5" x14ac:dyDescent="0.3">
      <c r="E96" t="str">
        <f t="shared" si="1"/>
        <v/>
      </c>
    </row>
    <row r="97" spans="5:5" x14ac:dyDescent="0.3">
      <c r="E97" t="str">
        <f t="shared" si="1"/>
        <v/>
      </c>
    </row>
    <row r="98" spans="5:5" x14ac:dyDescent="0.3">
      <c r="E98" t="str">
        <f t="shared" si="1"/>
        <v/>
      </c>
    </row>
    <row r="99" spans="5:5" x14ac:dyDescent="0.3">
      <c r="E99" t="str">
        <f t="shared" si="1"/>
        <v/>
      </c>
    </row>
    <row r="100" spans="5:5" x14ac:dyDescent="0.3">
      <c r="E100" t="str">
        <f t="shared" si="1"/>
        <v/>
      </c>
    </row>
    <row r="101" spans="5:5" x14ac:dyDescent="0.3">
      <c r="E101" t="str">
        <f t="shared" si="1"/>
        <v/>
      </c>
    </row>
    <row r="102" spans="5:5" x14ac:dyDescent="0.3">
      <c r="E102" t="str">
        <f t="shared" si="1"/>
        <v/>
      </c>
    </row>
    <row r="103" spans="5:5" x14ac:dyDescent="0.3">
      <c r="E103" t="str">
        <f t="shared" si="1"/>
        <v/>
      </c>
    </row>
    <row r="104" spans="5:5" x14ac:dyDescent="0.3">
      <c r="E104" t="str">
        <f t="shared" si="1"/>
        <v/>
      </c>
    </row>
    <row r="105" spans="5:5" x14ac:dyDescent="0.3">
      <c r="E105" t="str">
        <f t="shared" si="1"/>
        <v/>
      </c>
    </row>
    <row r="106" spans="5:5" x14ac:dyDescent="0.3">
      <c r="E106" t="str">
        <f t="shared" si="1"/>
        <v/>
      </c>
    </row>
    <row r="107" spans="5:5" x14ac:dyDescent="0.3">
      <c r="E107" t="str">
        <f t="shared" si="1"/>
        <v/>
      </c>
    </row>
    <row r="108" spans="5:5" x14ac:dyDescent="0.3">
      <c r="E108" t="str">
        <f t="shared" si="1"/>
        <v/>
      </c>
    </row>
    <row r="109" spans="5:5" x14ac:dyDescent="0.3">
      <c r="E109" t="str">
        <f t="shared" si="1"/>
        <v/>
      </c>
    </row>
    <row r="110" spans="5:5" x14ac:dyDescent="0.3">
      <c r="E110" t="str">
        <f t="shared" si="1"/>
        <v/>
      </c>
    </row>
    <row r="111" spans="5:5" x14ac:dyDescent="0.3">
      <c r="E111" t="str">
        <f t="shared" si="1"/>
        <v/>
      </c>
    </row>
    <row r="112" spans="5:5" x14ac:dyDescent="0.3">
      <c r="E112" t="str">
        <f t="shared" si="1"/>
        <v/>
      </c>
    </row>
    <row r="113" spans="5:5" x14ac:dyDescent="0.3">
      <c r="E113" t="str">
        <f t="shared" si="1"/>
        <v/>
      </c>
    </row>
    <row r="114" spans="5:5" x14ac:dyDescent="0.3">
      <c r="E114" t="str">
        <f t="shared" si="1"/>
        <v/>
      </c>
    </row>
    <row r="115" spans="5:5" x14ac:dyDescent="0.3">
      <c r="E115" t="str">
        <f t="shared" si="1"/>
        <v/>
      </c>
    </row>
    <row r="116" spans="5:5" x14ac:dyDescent="0.3">
      <c r="E116" t="str">
        <f t="shared" si="1"/>
        <v/>
      </c>
    </row>
    <row r="117" spans="5:5" x14ac:dyDescent="0.3">
      <c r="E117" t="str">
        <f t="shared" si="1"/>
        <v/>
      </c>
    </row>
    <row r="118" spans="5:5" x14ac:dyDescent="0.3">
      <c r="E118" t="str">
        <f t="shared" si="1"/>
        <v/>
      </c>
    </row>
    <row r="119" spans="5:5" x14ac:dyDescent="0.3">
      <c r="E119" t="str">
        <f t="shared" si="1"/>
        <v/>
      </c>
    </row>
    <row r="120" spans="5:5" x14ac:dyDescent="0.3">
      <c r="E120" t="str">
        <f t="shared" si="1"/>
        <v/>
      </c>
    </row>
    <row r="121" spans="5:5" x14ac:dyDescent="0.3">
      <c r="E121" t="str">
        <f t="shared" si="1"/>
        <v/>
      </c>
    </row>
    <row r="122" spans="5:5" x14ac:dyDescent="0.3">
      <c r="E122" t="str">
        <f t="shared" si="1"/>
        <v/>
      </c>
    </row>
    <row r="123" spans="5:5" x14ac:dyDescent="0.3">
      <c r="E123" t="str">
        <f t="shared" si="1"/>
        <v/>
      </c>
    </row>
    <row r="124" spans="5:5" x14ac:dyDescent="0.3">
      <c r="E124" t="str">
        <f t="shared" si="1"/>
        <v/>
      </c>
    </row>
    <row r="125" spans="5:5" x14ac:dyDescent="0.3">
      <c r="E125" t="str">
        <f t="shared" si="1"/>
        <v/>
      </c>
    </row>
    <row r="126" spans="5:5" x14ac:dyDescent="0.3">
      <c r="E126" t="str">
        <f t="shared" si="1"/>
        <v/>
      </c>
    </row>
    <row r="127" spans="5:5" x14ac:dyDescent="0.3">
      <c r="E127" t="str">
        <f t="shared" si="1"/>
        <v/>
      </c>
    </row>
    <row r="128" spans="5:5" x14ac:dyDescent="0.3">
      <c r="E128" t="str">
        <f t="shared" si="1"/>
        <v/>
      </c>
    </row>
    <row r="129" spans="5:5" x14ac:dyDescent="0.3">
      <c r="E129" t="str">
        <f t="shared" si="1"/>
        <v/>
      </c>
    </row>
    <row r="130" spans="5:5" x14ac:dyDescent="0.3">
      <c r="E130" t="str">
        <f t="shared" ref="E130:E193" si="2">IF(B130="","",IF(ISNUMBER(SEARCH("ERROR",B130,1)),"ERROR","-"))</f>
        <v/>
      </c>
    </row>
    <row r="131" spans="5:5" x14ac:dyDescent="0.3">
      <c r="E131" t="str">
        <f t="shared" si="2"/>
        <v/>
      </c>
    </row>
    <row r="132" spans="5:5" x14ac:dyDescent="0.3">
      <c r="E132" t="str">
        <f t="shared" si="2"/>
        <v/>
      </c>
    </row>
    <row r="133" spans="5:5" x14ac:dyDescent="0.3">
      <c r="E133" t="str">
        <f t="shared" si="2"/>
        <v/>
      </c>
    </row>
    <row r="134" spans="5:5" x14ac:dyDescent="0.3">
      <c r="E134" t="str">
        <f t="shared" si="2"/>
        <v/>
      </c>
    </row>
    <row r="135" spans="5:5" x14ac:dyDescent="0.3">
      <c r="E135" t="str">
        <f t="shared" si="2"/>
        <v/>
      </c>
    </row>
    <row r="136" spans="5:5" x14ac:dyDescent="0.3">
      <c r="E136" t="str">
        <f t="shared" si="2"/>
        <v/>
      </c>
    </row>
    <row r="137" spans="5:5" x14ac:dyDescent="0.3">
      <c r="E137" t="str">
        <f t="shared" si="2"/>
        <v/>
      </c>
    </row>
    <row r="138" spans="5:5" x14ac:dyDescent="0.3">
      <c r="E138" t="str">
        <f t="shared" si="2"/>
        <v/>
      </c>
    </row>
    <row r="139" spans="5:5" x14ac:dyDescent="0.3">
      <c r="E139" t="str">
        <f t="shared" si="2"/>
        <v/>
      </c>
    </row>
    <row r="140" spans="5:5" x14ac:dyDescent="0.3">
      <c r="E140" t="str">
        <f t="shared" si="2"/>
        <v/>
      </c>
    </row>
    <row r="141" spans="5:5" x14ac:dyDescent="0.3">
      <c r="E141" t="str">
        <f t="shared" si="2"/>
        <v/>
      </c>
    </row>
    <row r="142" spans="5:5" x14ac:dyDescent="0.3">
      <c r="E142" t="str">
        <f t="shared" si="2"/>
        <v/>
      </c>
    </row>
    <row r="143" spans="5:5" x14ac:dyDescent="0.3">
      <c r="E143" t="str">
        <f t="shared" si="2"/>
        <v/>
      </c>
    </row>
    <row r="144" spans="5:5" x14ac:dyDescent="0.3">
      <c r="E144" t="str">
        <f t="shared" si="2"/>
        <v/>
      </c>
    </row>
    <row r="145" spans="5:5" x14ac:dyDescent="0.3">
      <c r="E145" t="str">
        <f t="shared" si="2"/>
        <v/>
      </c>
    </row>
    <row r="146" spans="5:5" x14ac:dyDescent="0.3">
      <c r="E146" t="str">
        <f t="shared" si="2"/>
        <v/>
      </c>
    </row>
    <row r="147" spans="5:5" x14ac:dyDescent="0.3">
      <c r="E147" t="str">
        <f t="shared" si="2"/>
        <v/>
      </c>
    </row>
    <row r="148" spans="5:5" x14ac:dyDescent="0.3">
      <c r="E148" t="str">
        <f t="shared" si="2"/>
        <v/>
      </c>
    </row>
    <row r="149" spans="5:5" x14ac:dyDescent="0.3">
      <c r="E149" t="str">
        <f t="shared" si="2"/>
        <v/>
      </c>
    </row>
    <row r="150" spans="5:5" x14ac:dyDescent="0.3">
      <c r="E150" t="str">
        <f t="shared" si="2"/>
        <v/>
      </c>
    </row>
    <row r="151" spans="5:5" x14ac:dyDescent="0.3">
      <c r="E151" t="str">
        <f t="shared" si="2"/>
        <v/>
      </c>
    </row>
    <row r="152" spans="5:5" x14ac:dyDescent="0.3">
      <c r="E152" t="str">
        <f t="shared" si="2"/>
        <v/>
      </c>
    </row>
    <row r="153" spans="5:5" x14ac:dyDescent="0.3">
      <c r="E153" t="str">
        <f t="shared" si="2"/>
        <v/>
      </c>
    </row>
    <row r="154" spans="5:5" x14ac:dyDescent="0.3">
      <c r="E154" t="str">
        <f t="shared" si="2"/>
        <v/>
      </c>
    </row>
    <row r="155" spans="5:5" x14ac:dyDescent="0.3">
      <c r="E155" t="str">
        <f t="shared" si="2"/>
        <v/>
      </c>
    </row>
    <row r="156" spans="5:5" x14ac:dyDescent="0.3">
      <c r="E156" t="str">
        <f t="shared" si="2"/>
        <v/>
      </c>
    </row>
    <row r="157" spans="5:5" x14ac:dyDescent="0.3">
      <c r="E157" t="str">
        <f t="shared" si="2"/>
        <v/>
      </c>
    </row>
    <row r="158" spans="5:5" x14ac:dyDescent="0.3">
      <c r="E158" t="str">
        <f t="shared" si="2"/>
        <v/>
      </c>
    </row>
    <row r="159" spans="5:5" x14ac:dyDescent="0.3">
      <c r="E159" t="str">
        <f t="shared" si="2"/>
        <v/>
      </c>
    </row>
    <row r="160" spans="5:5" x14ac:dyDescent="0.3">
      <c r="E160" t="str">
        <f t="shared" si="2"/>
        <v/>
      </c>
    </row>
    <row r="161" spans="5:5" x14ac:dyDescent="0.3">
      <c r="E161" t="str">
        <f t="shared" si="2"/>
        <v/>
      </c>
    </row>
    <row r="162" spans="5:5" x14ac:dyDescent="0.3">
      <c r="E162" t="str">
        <f t="shared" si="2"/>
        <v/>
      </c>
    </row>
    <row r="163" spans="5:5" x14ac:dyDescent="0.3">
      <c r="E163" t="str">
        <f t="shared" si="2"/>
        <v/>
      </c>
    </row>
    <row r="164" spans="5:5" x14ac:dyDescent="0.3">
      <c r="E164" t="str">
        <f t="shared" si="2"/>
        <v/>
      </c>
    </row>
    <row r="165" spans="5:5" x14ac:dyDescent="0.3">
      <c r="E165" t="str">
        <f t="shared" si="2"/>
        <v/>
      </c>
    </row>
    <row r="166" spans="5:5" x14ac:dyDescent="0.3">
      <c r="E166" t="str">
        <f t="shared" si="2"/>
        <v/>
      </c>
    </row>
    <row r="167" spans="5:5" x14ac:dyDescent="0.3">
      <c r="E167" t="str">
        <f t="shared" si="2"/>
        <v/>
      </c>
    </row>
    <row r="168" spans="5:5" x14ac:dyDescent="0.3">
      <c r="E168" t="str">
        <f t="shared" si="2"/>
        <v/>
      </c>
    </row>
    <row r="169" spans="5:5" x14ac:dyDescent="0.3">
      <c r="E169" t="str">
        <f t="shared" si="2"/>
        <v/>
      </c>
    </row>
    <row r="170" spans="5:5" x14ac:dyDescent="0.3">
      <c r="E170" t="str">
        <f t="shared" si="2"/>
        <v/>
      </c>
    </row>
    <row r="171" spans="5:5" x14ac:dyDescent="0.3">
      <c r="E171" t="str">
        <f t="shared" si="2"/>
        <v/>
      </c>
    </row>
    <row r="172" spans="5:5" x14ac:dyDescent="0.3">
      <c r="E172" t="str">
        <f t="shared" si="2"/>
        <v/>
      </c>
    </row>
    <row r="173" spans="5:5" x14ac:dyDescent="0.3">
      <c r="E173" t="str">
        <f t="shared" si="2"/>
        <v/>
      </c>
    </row>
    <row r="174" spans="5:5" x14ac:dyDescent="0.3">
      <c r="E174" t="str">
        <f t="shared" si="2"/>
        <v/>
      </c>
    </row>
    <row r="175" spans="5:5" x14ac:dyDescent="0.3">
      <c r="E175" t="str">
        <f t="shared" si="2"/>
        <v/>
      </c>
    </row>
    <row r="176" spans="5:5" x14ac:dyDescent="0.3">
      <c r="E176" t="str">
        <f t="shared" si="2"/>
        <v/>
      </c>
    </row>
    <row r="177" spans="5:5" x14ac:dyDescent="0.3">
      <c r="E177" t="str">
        <f t="shared" si="2"/>
        <v/>
      </c>
    </row>
    <row r="178" spans="5:5" x14ac:dyDescent="0.3">
      <c r="E178" t="str">
        <f t="shared" si="2"/>
        <v/>
      </c>
    </row>
    <row r="179" spans="5:5" x14ac:dyDescent="0.3">
      <c r="E179" t="str">
        <f t="shared" si="2"/>
        <v/>
      </c>
    </row>
    <row r="180" spans="5:5" x14ac:dyDescent="0.3">
      <c r="E180" t="str">
        <f t="shared" si="2"/>
        <v/>
      </c>
    </row>
    <row r="181" spans="5:5" x14ac:dyDescent="0.3">
      <c r="E181" t="str">
        <f t="shared" si="2"/>
        <v/>
      </c>
    </row>
    <row r="182" spans="5:5" x14ac:dyDescent="0.3">
      <c r="E182" t="str">
        <f t="shared" si="2"/>
        <v/>
      </c>
    </row>
    <row r="183" spans="5:5" x14ac:dyDescent="0.3">
      <c r="E183" t="str">
        <f t="shared" si="2"/>
        <v/>
      </c>
    </row>
    <row r="184" spans="5:5" x14ac:dyDescent="0.3">
      <c r="E184" t="str">
        <f t="shared" si="2"/>
        <v/>
      </c>
    </row>
    <row r="185" spans="5:5" x14ac:dyDescent="0.3">
      <c r="E185" t="str">
        <f t="shared" si="2"/>
        <v/>
      </c>
    </row>
    <row r="186" spans="5:5" x14ac:dyDescent="0.3">
      <c r="E186" t="str">
        <f t="shared" si="2"/>
        <v/>
      </c>
    </row>
    <row r="187" spans="5:5" x14ac:dyDescent="0.3">
      <c r="E187" t="str">
        <f t="shared" si="2"/>
        <v/>
      </c>
    </row>
    <row r="188" spans="5:5" x14ac:dyDescent="0.3">
      <c r="E188" t="str">
        <f t="shared" si="2"/>
        <v/>
      </c>
    </row>
    <row r="189" spans="5:5" x14ac:dyDescent="0.3">
      <c r="E189" t="str">
        <f t="shared" si="2"/>
        <v/>
      </c>
    </row>
    <row r="190" spans="5:5" x14ac:dyDescent="0.3">
      <c r="E190" t="str">
        <f t="shared" si="2"/>
        <v/>
      </c>
    </row>
    <row r="191" spans="5:5" x14ac:dyDescent="0.3">
      <c r="E191" t="str">
        <f t="shared" si="2"/>
        <v/>
      </c>
    </row>
    <row r="192" spans="5:5" x14ac:dyDescent="0.3">
      <c r="E192" t="str">
        <f t="shared" si="2"/>
        <v/>
      </c>
    </row>
    <row r="193" spans="5:5" x14ac:dyDescent="0.3">
      <c r="E193" t="str">
        <f t="shared" si="2"/>
        <v/>
      </c>
    </row>
    <row r="194" spans="5:5" x14ac:dyDescent="0.3">
      <c r="E194" t="str">
        <f t="shared" ref="E194:E206" si="3">IF(B194="","",IF(ISNUMBER(SEARCH("ERROR",B194,1)),"ERROR","-"))</f>
        <v/>
      </c>
    </row>
    <row r="195" spans="5:5" x14ac:dyDescent="0.3">
      <c r="E195" t="str">
        <f t="shared" si="3"/>
        <v/>
      </c>
    </row>
    <row r="196" spans="5:5" x14ac:dyDescent="0.3">
      <c r="E196" t="str">
        <f t="shared" si="3"/>
        <v/>
      </c>
    </row>
    <row r="197" spans="5:5" x14ac:dyDescent="0.3">
      <c r="E197" t="str">
        <f t="shared" si="3"/>
        <v/>
      </c>
    </row>
    <row r="198" spans="5:5" x14ac:dyDescent="0.3">
      <c r="E198" t="str">
        <f t="shared" si="3"/>
        <v/>
      </c>
    </row>
    <row r="199" spans="5:5" x14ac:dyDescent="0.3">
      <c r="E199" t="str">
        <f t="shared" si="3"/>
        <v/>
      </c>
    </row>
    <row r="200" spans="5:5" x14ac:dyDescent="0.3">
      <c r="E200" t="str">
        <f t="shared" si="3"/>
        <v/>
      </c>
    </row>
    <row r="201" spans="5:5" x14ac:dyDescent="0.3">
      <c r="E201" t="str">
        <f t="shared" si="3"/>
        <v/>
      </c>
    </row>
    <row r="202" spans="5:5" x14ac:dyDescent="0.3">
      <c r="E202" t="str">
        <f t="shared" si="3"/>
        <v/>
      </c>
    </row>
    <row r="203" spans="5:5" x14ac:dyDescent="0.3">
      <c r="E203" t="str">
        <f t="shared" si="3"/>
        <v/>
      </c>
    </row>
    <row r="204" spans="5:5" x14ac:dyDescent="0.3">
      <c r="E204" t="str">
        <f t="shared" si="3"/>
        <v/>
      </c>
    </row>
    <row r="205" spans="5:5" x14ac:dyDescent="0.3">
      <c r="E205" t="str">
        <f t="shared" si="3"/>
        <v/>
      </c>
    </row>
    <row r="206" spans="5:5" x14ac:dyDescent="0.3">
      <c r="E206" t="str">
        <f t="shared" si="3"/>
        <v/>
      </c>
    </row>
    <row r="207" spans="5:5" x14ac:dyDescent="0.3">
      <c r="E207" t="e" cm="1">
        <f t="array" ref="E207">IF(B²207="","",IF(ISNUMBER(SEARCH("ERROR",B207,1)),"ERROR","-"))</f>
        <v>#NAME?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F4907-65A6-4467-9FA7-1BD355AB1ADC}">
  <sheetPr codeName="Feuil3"/>
  <dimension ref="A1:J29"/>
  <sheetViews>
    <sheetView zoomScale="55" zoomScaleNormal="55" workbookViewId="0">
      <selection activeCell="D16" sqref="D16"/>
    </sheetView>
  </sheetViews>
  <sheetFormatPr baseColWidth="10" defaultRowHeight="18.75" x14ac:dyDescent="0.3"/>
  <cols>
    <col min="1" max="1" width="10" bestFit="1" customWidth="1"/>
    <col min="2" max="2" width="9.5" bestFit="1" customWidth="1"/>
    <col min="3" max="3" width="24.796875" bestFit="1" customWidth="1"/>
    <col min="4" max="4" width="80.796875" bestFit="1" customWidth="1"/>
    <col min="5" max="5" width="25.5" bestFit="1" customWidth="1"/>
    <col min="6" max="6" width="21.796875" bestFit="1" customWidth="1"/>
    <col min="7" max="9" width="80.796875" bestFit="1" customWidth="1"/>
    <col min="10" max="11" width="34.296875" bestFit="1" customWidth="1"/>
    <col min="12" max="14" width="80.796875" customWidth="1"/>
    <col min="15" max="15" width="34.69921875" bestFit="1" customWidth="1"/>
    <col min="16" max="16" width="25.296875" bestFit="1" customWidth="1"/>
    <col min="17" max="18" width="45.59765625" bestFit="1" customWidth="1"/>
    <col min="19" max="21" width="80.796875" customWidth="1"/>
    <col min="22" max="22" width="80.796875" bestFit="1" customWidth="1"/>
    <col min="23" max="23" width="33.8984375" bestFit="1" customWidth="1"/>
    <col min="24" max="25" width="34.296875" bestFit="1" customWidth="1"/>
    <col min="26" max="29" width="80.796875" customWidth="1"/>
    <col min="30" max="30" width="25.296875" bestFit="1" customWidth="1"/>
    <col min="31" max="32" width="34.296875" bestFit="1" customWidth="1"/>
    <col min="33" max="35" width="80.796875" customWidth="1"/>
    <col min="36" max="36" width="34.69921875" bestFit="1" customWidth="1"/>
    <col min="37" max="37" width="25.296875" bestFit="1" customWidth="1"/>
    <col min="38" max="39" width="34.296875" bestFit="1" customWidth="1"/>
    <col min="40" max="42" width="80.796875" customWidth="1"/>
    <col min="43" max="43" width="34.69921875" bestFit="1" customWidth="1"/>
    <col min="44" max="44" width="25.296875" bestFit="1" customWidth="1"/>
    <col min="45" max="46" width="34.296875" bestFit="1" customWidth="1"/>
    <col min="47" max="49" width="80.796875" customWidth="1"/>
    <col min="50" max="50" width="34.69921875" bestFit="1" customWidth="1"/>
    <col min="51" max="51" width="25.296875" bestFit="1" customWidth="1"/>
    <col min="52" max="53" width="34.296875" bestFit="1" customWidth="1"/>
    <col min="54" max="56" width="80.796875" customWidth="1"/>
    <col min="57" max="57" width="34.69921875" bestFit="1" customWidth="1"/>
    <col min="58" max="58" width="25.296875" bestFit="1" customWidth="1"/>
    <col min="59" max="60" width="34.296875" bestFit="1" customWidth="1"/>
    <col min="61" max="64" width="80.796875" customWidth="1"/>
    <col min="65" max="65" width="25.296875" bestFit="1" customWidth="1"/>
    <col min="66" max="67" width="34.296875" bestFit="1" customWidth="1"/>
    <col min="68" max="70" width="80.796875" customWidth="1"/>
    <col min="71" max="71" width="34.69921875" bestFit="1" customWidth="1"/>
    <col min="72" max="72" width="25.296875" bestFit="1" customWidth="1"/>
    <col min="73" max="74" width="45.59765625" bestFit="1" customWidth="1"/>
    <col min="75" max="77" width="80.796875" customWidth="1"/>
    <col min="78" max="78" width="80.796875" bestFit="1" customWidth="1"/>
    <col min="79" max="79" width="33.8984375" bestFit="1" customWidth="1"/>
    <col min="80" max="81" width="34.296875" bestFit="1" customWidth="1"/>
    <col min="82" max="84" width="80.796875" customWidth="1"/>
    <col min="85" max="85" width="80.796875" bestFit="1" customWidth="1"/>
    <col min="86" max="86" width="25.296875" bestFit="1" customWidth="1"/>
    <col min="87" max="88" width="33.59765625" bestFit="1" customWidth="1"/>
    <col min="89" max="92" width="80.796875" customWidth="1"/>
    <col min="93" max="93" width="24.296875" bestFit="1" customWidth="1"/>
    <col min="94" max="95" width="33.59765625" bestFit="1" customWidth="1"/>
    <col min="96" max="98" width="80.796875" customWidth="1"/>
    <col min="99" max="99" width="33.8984375" bestFit="1" customWidth="1"/>
    <col min="100" max="100" width="24.296875" bestFit="1" customWidth="1"/>
    <col min="101" max="102" width="33.59765625" bestFit="1" customWidth="1"/>
    <col min="103" max="106" width="80.796875" customWidth="1"/>
    <col min="107" max="107" width="24.296875" bestFit="1" customWidth="1"/>
    <col min="108" max="109" width="33.59765625" bestFit="1" customWidth="1"/>
    <col min="110" max="112" width="80.796875" customWidth="1"/>
    <col min="113" max="113" width="33.8984375" bestFit="1" customWidth="1"/>
    <col min="114" max="114" width="24.296875" bestFit="1" customWidth="1"/>
    <col min="115" max="116" width="33.59765625" bestFit="1" customWidth="1"/>
    <col min="117" max="120" width="80.796875" customWidth="1"/>
    <col min="121" max="121" width="24.296875" bestFit="1" customWidth="1"/>
    <col min="122" max="123" width="33.59765625" bestFit="1" customWidth="1"/>
    <col min="124" max="127" width="80.796875" bestFit="1" customWidth="1"/>
    <col min="128" max="128" width="24.296875" bestFit="1" customWidth="1"/>
    <col min="129" max="129" width="80.796875" bestFit="1" customWidth="1"/>
    <col min="130" max="130" width="33.59765625" bestFit="1" customWidth="1"/>
    <col min="131" max="131" width="23.5" bestFit="1" customWidth="1"/>
    <col min="132" max="132" width="33.59765625" bestFit="1" customWidth="1"/>
    <col min="133" max="136" width="80.796875" customWidth="1"/>
    <col min="137" max="137" width="24.296875" bestFit="1" customWidth="1"/>
    <col min="138" max="138" width="80.796875" bestFit="1" customWidth="1"/>
    <col min="139" max="139" width="33.59765625" bestFit="1" customWidth="1"/>
    <col min="140" max="140" width="23.5" bestFit="1" customWidth="1"/>
    <col min="141" max="141" width="33.59765625" bestFit="1" customWidth="1"/>
    <col min="142" max="145" width="80.796875" customWidth="1"/>
    <col min="146" max="146" width="24.296875" bestFit="1" customWidth="1"/>
    <col min="147" max="147" width="80.796875" bestFit="1" customWidth="1"/>
    <col min="148" max="148" width="33.59765625" bestFit="1" customWidth="1"/>
    <col min="149" max="149" width="23.5" bestFit="1" customWidth="1"/>
    <col min="150" max="150" width="33.59765625" bestFit="1" customWidth="1"/>
    <col min="151" max="154" width="80.796875" bestFit="1" customWidth="1"/>
    <col min="155" max="155" width="24.296875" bestFit="1" customWidth="1"/>
    <col min="156" max="156" width="80.796875" bestFit="1" customWidth="1"/>
    <col min="157" max="157" width="33.59765625" bestFit="1" customWidth="1"/>
  </cols>
  <sheetData>
    <row r="1" spans="1:10" x14ac:dyDescent="0.3">
      <c r="A1" t="s">
        <v>3</v>
      </c>
      <c r="B1" t="s">
        <v>4</v>
      </c>
      <c r="C1" t="s">
        <v>5</v>
      </c>
      <c r="D1" t="s">
        <v>58</v>
      </c>
      <c r="E1" t="s">
        <v>6</v>
      </c>
      <c r="F1" t="s">
        <v>7</v>
      </c>
      <c r="G1" t="s">
        <v>8</v>
      </c>
      <c r="H1" t="s">
        <v>9</v>
      </c>
      <c r="I1" t="s">
        <v>14</v>
      </c>
      <c r="J1" t="s">
        <v>10</v>
      </c>
    </row>
    <row r="2" spans="1:10" x14ac:dyDescent="0.3">
      <c r="A2" s="1" t="s">
        <v>11</v>
      </c>
      <c r="B2" s="1">
        <v>28310</v>
      </c>
      <c r="C2" s="1" t="s">
        <v>59</v>
      </c>
      <c r="D2" t="s">
        <v>13</v>
      </c>
      <c r="E2" s="1" t="s">
        <v>13</v>
      </c>
      <c r="F2" s="1" t="s">
        <v>12</v>
      </c>
      <c r="G2" s="1" t="s">
        <v>13</v>
      </c>
      <c r="H2" s="1" t="s">
        <v>13</v>
      </c>
      <c r="I2" t="s">
        <v>60</v>
      </c>
      <c r="J2" s="1" t="s">
        <v>61</v>
      </c>
    </row>
    <row r="3" spans="1:10" x14ac:dyDescent="0.3">
      <c r="A3" s="1" t="s">
        <v>11</v>
      </c>
      <c r="B3" s="1">
        <v>34078</v>
      </c>
      <c r="C3" s="1" t="s">
        <v>62</v>
      </c>
      <c r="D3" t="s">
        <v>63</v>
      </c>
      <c r="E3" s="1" t="s">
        <v>13</v>
      </c>
      <c r="F3" s="1" t="s">
        <v>12</v>
      </c>
      <c r="G3" s="1" t="s">
        <v>64</v>
      </c>
      <c r="H3" s="1" t="s">
        <v>65</v>
      </c>
      <c r="I3" t="s">
        <v>66</v>
      </c>
      <c r="J3" s="1" t="s">
        <v>61</v>
      </c>
    </row>
    <row r="4" spans="1:10" x14ac:dyDescent="0.3">
      <c r="A4" s="1" t="s">
        <v>11</v>
      </c>
      <c r="B4" s="1">
        <v>28292</v>
      </c>
      <c r="C4" s="1" t="s">
        <v>67</v>
      </c>
      <c r="D4" t="s">
        <v>68</v>
      </c>
      <c r="E4" s="1" t="s">
        <v>13</v>
      </c>
      <c r="F4" s="1" t="s">
        <v>12</v>
      </c>
      <c r="G4" s="1" t="s">
        <v>69</v>
      </c>
      <c r="H4" s="1" t="s">
        <v>70</v>
      </c>
      <c r="I4" t="s">
        <v>71</v>
      </c>
      <c r="J4" s="1" t="s">
        <v>61</v>
      </c>
    </row>
    <row r="5" spans="1:10" x14ac:dyDescent="0.3">
      <c r="A5" s="1" t="s">
        <v>11</v>
      </c>
      <c r="B5" s="1">
        <v>34372</v>
      </c>
      <c r="C5" s="1" t="s">
        <v>72</v>
      </c>
      <c r="D5" t="s">
        <v>73</v>
      </c>
      <c r="E5" s="1" t="s">
        <v>13</v>
      </c>
      <c r="F5" s="1" t="s">
        <v>12</v>
      </c>
      <c r="G5" s="1" t="s">
        <v>56</v>
      </c>
      <c r="H5" s="1" t="s">
        <v>74</v>
      </c>
      <c r="I5" t="s">
        <v>75</v>
      </c>
      <c r="J5" s="1" t="s">
        <v>61</v>
      </c>
    </row>
    <row r="6" spans="1:10" x14ac:dyDescent="0.3">
      <c r="A6" s="1" t="s">
        <v>11</v>
      </c>
      <c r="B6" s="1">
        <v>34148</v>
      </c>
      <c r="C6" s="1" t="s">
        <v>76</v>
      </c>
      <c r="D6" t="s">
        <v>77</v>
      </c>
      <c r="E6" s="1" t="s">
        <v>13</v>
      </c>
      <c r="F6" s="1" t="s">
        <v>12</v>
      </c>
      <c r="G6" s="1" t="s">
        <v>78</v>
      </c>
      <c r="H6" s="1" t="s">
        <v>79</v>
      </c>
      <c r="I6" t="s">
        <v>80</v>
      </c>
      <c r="J6" s="1" t="s">
        <v>61</v>
      </c>
    </row>
    <row r="7" spans="1:10" x14ac:dyDescent="0.3">
      <c r="A7" s="1" t="s">
        <v>11</v>
      </c>
      <c r="B7" s="1">
        <v>34164</v>
      </c>
      <c r="C7" s="1" t="s">
        <v>81</v>
      </c>
      <c r="D7" t="s">
        <v>82</v>
      </c>
      <c r="E7" s="1" t="s">
        <v>13</v>
      </c>
      <c r="F7" s="1" t="s">
        <v>12</v>
      </c>
      <c r="G7" s="1" t="s">
        <v>13</v>
      </c>
      <c r="H7" s="1" t="s">
        <v>83</v>
      </c>
      <c r="I7" t="s">
        <v>84</v>
      </c>
      <c r="J7" s="1" t="s">
        <v>61</v>
      </c>
    </row>
    <row r="8" spans="1:10" x14ac:dyDescent="0.3">
      <c r="A8" s="1" t="s">
        <v>11</v>
      </c>
      <c r="B8" s="1">
        <v>34388</v>
      </c>
      <c r="C8" s="1" t="s">
        <v>85</v>
      </c>
      <c r="D8" t="s">
        <v>86</v>
      </c>
      <c r="E8" s="1" t="s">
        <v>13</v>
      </c>
      <c r="F8" s="1" t="s">
        <v>12</v>
      </c>
      <c r="G8" s="1" t="s">
        <v>13</v>
      </c>
      <c r="H8" s="1" t="s">
        <v>87</v>
      </c>
      <c r="I8" t="s">
        <v>88</v>
      </c>
      <c r="J8" s="1" t="s">
        <v>61</v>
      </c>
    </row>
    <row r="9" spans="1:10" x14ac:dyDescent="0.3">
      <c r="A9" s="1" t="s">
        <v>11</v>
      </c>
      <c r="B9" s="1">
        <v>20864</v>
      </c>
      <c r="C9" s="1" t="s">
        <v>89</v>
      </c>
      <c r="D9" t="s">
        <v>90</v>
      </c>
      <c r="E9" s="1" t="s">
        <v>13</v>
      </c>
      <c r="F9" s="1" t="s">
        <v>12</v>
      </c>
      <c r="G9" s="1" t="s">
        <v>91</v>
      </c>
      <c r="H9" s="1" t="s">
        <v>92</v>
      </c>
      <c r="I9" t="s">
        <v>93</v>
      </c>
      <c r="J9" s="1" t="s">
        <v>61</v>
      </c>
    </row>
    <row r="10" spans="1:10" x14ac:dyDescent="0.3">
      <c r="A10" s="1" t="s">
        <v>11</v>
      </c>
      <c r="B10" s="1">
        <v>34391</v>
      </c>
      <c r="C10" s="1" t="s">
        <v>94</v>
      </c>
      <c r="D10" t="s">
        <v>95</v>
      </c>
      <c r="E10" s="1" t="s">
        <v>13</v>
      </c>
      <c r="F10" s="1" t="s">
        <v>12</v>
      </c>
      <c r="G10" s="1" t="s">
        <v>96</v>
      </c>
      <c r="H10" s="1" t="s">
        <v>97</v>
      </c>
      <c r="I10" t="s">
        <v>98</v>
      </c>
      <c r="J10" s="1" t="s">
        <v>61</v>
      </c>
    </row>
    <row r="11" spans="1:10" x14ac:dyDescent="0.3">
      <c r="A11" s="1" t="s">
        <v>11</v>
      </c>
      <c r="B11" s="1">
        <v>20851</v>
      </c>
      <c r="C11" s="1" t="s">
        <v>99</v>
      </c>
      <c r="D11" t="s">
        <v>100</v>
      </c>
      <c r="E11" s="1" t="s">
        <v>13</v>
      </c>
      <c r="F11" s="1" t="s">
        <v>12</v>
      </c>
      <c r="G11" s="1" t="s">
        <v>101</v>
      </c>
      <c r="H11" s="1" t="s">
        <v>102</v>
      </c>
      <c r="I11" t="s">
        <v>103</v>
      </c>
      <c r="J11" s="1" t="s">
        <v>61</v>
      </c>
    </row>
    <row r="12" spans="1:10" x14ac:dyDescent="0.3">
      <c r="A12" s="1" t="s">
        <v>11</v>
      </c>
      <c r="B12" s="1">
        <v>34545</v>
      </c>
      <c r="C12" s="1" t="s">
        <v>89</v>
      </c>
      <c r="D12" t="s">
        <v>104</v>
      </c>
      <c r="E12" s="1" t="s">
        <v>13</v>
      </c>
      <c r="F12" s="1" t="s">
        <v>12</v>
      </c>
      <c r="G12" s="1" t="s">
        <v>105</v>
      </c>
      <c r="H12" s="1" t="s">
        <v>106</v>
      </c>
      <c r="I12" t="s">
        <v>93</v>
      </c>
      <c r="J12" s="1" t="s">
        <v>61</v>
      </c>
    </row>
    <row r="13" spans="1:10" x14ac:dyDescent="0.3">
      <c r="A13" s="1" t="s">
        <v>11</v>
      </c>
      <c r="B13" s="1">
        <v>34403</v>
      </c>
      <c r="C13" s="1" t="s">
        <v>107</v>
      </c>
      <c r="D13" t="s">
        <v>108</v>
      </c>
      <c r="E13" s="1" t="s">
        <v>13</v>
      </c>
      <c r="F13" s="1" t="s">
        <v>12</v>
      </c>
      <c r="G13" s="1" t="s">
        <v>109</v>
      </c>
      <c r="H13" s="1" t="s">
        <v>110</v>
      </c>
      <c r="J13" s="1" t="s">
        <v>61</v>
      </c>
    </row>
    <row r="14" spans="1:10" x14ac:dyDescent="0.3">
      <c r="A14" s="1" t="s">
        <v>11</v>
      </c>
      <c r="B14" s="1">
        <v>34397</v>
      </c>
      <c r="C14" s="1" t="s">
        <v>107</v>
      </c>
      <c r="D14" t="s">
        <v>111</v>
      </c>
      <c r="E14" s="1" t="s">
        <v>13</v>
      </c>
      <c r="F14" s="1" t="s">
        <v>12</v>
      </c>
      <c r="G14" s="1" t="s">
        <v>109</v>
      </c>
      <c r="H14" s="1" t="s">
        <v>112</v>
      </c>
      <c r="J14" s="1" t="s">
        <v>61</v>
      </c>
    </row>
    <row r="15" spans="1:10" x14ac:dyDescent="0.3">
      <c r="A15" s="1" t="s">
        <v>11</v>
      </c>
      <c r="B15" s="1">
        <v>34412</v>
      </c>
      <c r="C15" s="1" t="s">
        <v>113</v>
      </c>
      <c r="D15" t="s">
        <v>114</v>
      </c>
      <c r="E15" s="1" t="s">
        <v>13</v>
      </c>
      <c r="F15" s="1" t="s">
        <v>12</v>
      </c>
      <c r="G15" s="1" t="s">
        <v>115</v>
      </c>
      <c r="H15" s="1" t="s">
        <v>116</v>
      </c>
      <c r="J15" s="1" t="s">
        <v>61</v>
      </c>
    </row>
    <row r="16" spans="1:10" x14ac:dyDescent="0.3">
      <c r="A16" s="1" t="s">
        <v>11</v>
      </c>
      <c r="B16" s="1">
        <v>34416</v>
      </c>
      <c r="C16" s="1" t="s">
        <v>117</v>
      </c>
      <c r="D16" t="s">
        <v>118</v>
      </c>
      <c r="E16" s="1" t="s">
        <v>13</v>
      </c>
      <c r="F16" s="1" t="s">
        <v>12</v>
      </c>
      <c r="G16" s="1" t="s">
        <v>119</v>
      </c>
      <c r="H16" s="1" t="s">
        <v>120</v>
      </c>
      <c r="J16" s="1" t="s">
        <v>61</v>
      </c>
    </row>
    <row r="17" spans="1:10" x14ac:dyDescent="0.3">
      <c r="A17" s="1" t="s">
        <v>11</v>
      </c>
      <c r="B17" s="1">
        <v>34419</v>
      </c>
      <c r="C17" s="1" t="s">
        <v>121</v>
      </c>
      <c r="D17" t="s">
        <v>122</v>
      </c>
      <c r="E17" s="1" t="s">
        <v>13</v>
      </c>
      <c r="F17" s="1" t="s">
        <v>12</v>
      </c>
      <c r="G17" s="1" t="s">
        <v>123</v>
      </c>
      <c r="H17" s="1" t="s">
        <v>124</v>
      </c>
      <c r="J17" s="1" t="s">
        <v>61</v>
      </c>
    </row>
    <row r="18" spans="1:10" x14ac:dyDescent="0.3">
      <c r="A18" s="1" t="s">
        <v>11</v>
      </c>
      <c r="B18" s="1">
        <v>34422</v>
      </c>
      <c r="C18" s="1" t="s">
        <v>121</v>
      </c>
      <c r="D18" t="s">
        <v>125</v>
      </c>
      <c r="E18" s="1" t="s">
        <v>13</v>
      </c>
      <c r="F18" s="1" t="s">
        <v>12</v>
      </c>
      <c r="G18" s="1" t="s">
        <v>123</v>
      </c>
      <c r="H18" s="1" t="s">
        <v>126</v>
      </c>
      <c r="J18" s="1" t="s">
        <v>61</v>
      </c>
    </row>
    <row r="19" spans="1:10" x14ac:dyDescent="0.3">
      <c r="A19" s="1" t="s">
        <v>11</v>
      </c>
      <c r="B19" s="1">
        <v>34430</v>
      </c>
      <c r="C19" s="1" t="s">
        <v>127</v>
      </c>
      <c r="D19" t="s">
        <v>128</v>
      </c>
      <c r="E19" s="1" t="s">
        <v>13</v>
      </c>
      <c r="F19" s="1" t="s">
        <v>12</v>
      </c>
      <c r="G19" s="1" t="s">
        <v>129</v>
      </c>
      <c r="H19" s="1" t="s">
        <v>130</v>
      </c>
      <c r="J19" s="1" t="s">
        <v>61</v>
      </c>
    </row>
    <row r="20" spans="1:10" x14ac:dyDescent="0.3">
      <c r="A20" s="1" t="s">
        <v>11</v>
      </c>
      <c r="B20" s="1">
        <v>20912</v>
      </c>
      <c r="C20" s="1" t="s">
        <v>131</v>
      </c>
      <c r="D20" t="s">
        <v>132</v>
      </c>
      <c r="E20" s="1" t="s">
        <v>13</v>
      </c>
      <c r="F20" s="1" t="s">
        <v>12</v>
      </c>
      <c r="G20" s="1" t="s">
        <v>133</v>
      </c>
      <c r="H20" s="1" t="s">
        <v>134</v>
      </c>
      <c r="I20" t="s">
        <v>135</v>
      </c>
      <c r="J20" s="1" t="s">
        <v>61</v>
      </c>
    </row>
    <row r="21" spans="1:10" x14ac:dyDescent="0.3">
      <c r="A21" s="1" t="s">
        <v>11</v>
      </c>
      <c r="B21" s="1">
        <v>21340</v>
      </c>
      <c r="C21" s="1" t="s">
        <v>136</v>
      </c>
      <c r="D21" t="s">
        <v>137</v>
      </c>
      <c r="E21" s="1" t="s">
        <v>13</v>
      </c>
      <c r="F21" s="1" t="s">
        <v>12</v>
      </c>
      <c r="G21" s="1" t="s">
        <v>138</v>
      </c>
      <c r="H21" s="1" t="s">
        <v>139</v>
      </c>
      <c r="I21" t="s">
        <v>140</v>
      </c>
      <c r="J21" s="1" t="s">
        <v>61</v>
      </c>
    </row>
    <row r="22" spans="1:10" x14ac:dyDescent="0.3">
      <c r="A22" s="1" t="s">
        <v>11</v>
      </c>
      <c r="B22" s="1">
        <v>34596</v>
      </c>
      <c r="C22" s="1" t="s">
        <v>141</v>
      </c>
      <c r="D22" t="s">
        <v>142</v>
      </c>
      <c r="E22" s="1" t="s">
        <v>13</v>
      </c>
      <c r="F22" s="1" t="s">
        <v>12</v>
      </c>
      <c r="G22" s="1" t="s">
        <v>13</v>
      </c>
      <c r="H22" s="1" t="s">
        <v>143</v>
      </c>
      <c r="I22" t="s">
        <v>144</v>
      </c>
      <c r="J22" s="1" t="s">
        <v>61</v>
      </c>
    </row>
    <row r="23" spans="1:10" x14ac:dyDescent="0.3">
      <c r="A23" s="1" t="s">
        <v>11</v>
      </c>
      <c r="B23" s="1">
        <v>21310</v>
      </c>
      <c r="C23" s="1" t="s">
        <v>145</v>
      </c>
      <c r="D23" t="s">
        <v>146</v>
      </c>
      <c r="E23" s="1" t="s">
        <v>13</v>
      </c>
      <c r="F23" s="1" t="s">
        <v>12</v>
      </c>
      <c r="G23" s="1" t="s">
        <v>147</v>
      </c>
      <c r="H23" s="1" t="s">
        <v>148</v>
      </c>
      <c r="I23" t="s">
        <v>149</v>
      </c>
      <c r="J23" s="1" t="s">
        <v>61</v>
      </c>
    </row>
    <row r="24" spans="1:10" x14ac:dyDescent="0.3">
      <c r="A24" s="1" t="s">
        <v>11</v>
      </c>
      <c r="B24" s="1">
        <v>34173</v>
      </c>
      <c r="C24" s="1" t="s">
        <v>150</v>
      </c>
      <c r="D24" t="s">
        <v>151</v>
      </c>
      <c r="E24" s="1" t="s">
        <v>13</v>
      </c>
      <c r="F24" s="1" t="s">
        <v>12</v>
      </c>
      <c r="G24" s="1" t="s">
        <v>152</v>
      </c>
      <c r="H24" s="1" t="s">
        <v>153</v>
      </c>
      <c r="I24" t="s">
        <v>154</v>
      </c>
      <c r="J24" s="1" t="s">
        <v>61</v>
      </c>
    </row>
    <row r="25" spans="1:10" x14ac:dyDescent="0.3">
      <c r="A25" s="1" t="s">
        <v>11</v>
      </c>
      <c r="B25" s="1">
        <v>27076</v>
      </c>
      <c r="C25" s="1" t="s">
        <v>155</v>
      </c>
      <c r="D25" t="s">
        <v>156</v>
      </c>
      <c r="E25" s="1" t="s">
        <v>13</v>
      </c>
      <c r="F25" s="1" t="s">
        <v>12</v>
      </c>
      <c r="G25" s="1" t="s">
        <v>13</v>
      </c>
      <c r="H25" s="1" t="s">
        <v>157</v>
      </c>
      <c r="I25" t="s">
        <v>158</v>
      </c>
      <c r="J25" s="1" t="s">
        <v>61</v>
      </c>
    </row>
    <row r="26" spans="1:10" x14ac:dyDescent="0.3">
      <c r="A26" s="1" t="s">
        <v>11</v>
      </c>
      <c r="B26" s="1">
        <v>20975</v>
      </c>
      <c r="C26" s="1" t="s">
        <v>159</v>
      </c>
      <c r="D26" t="s">
        <v>160</v>
      </c>
      <c r="E26" s="1" t="s">
        <v>13</v>
      </c>
      <c r="F26" s="1" t="s">
        <v>12</v>
      </c>
      <c r="G26" s="1" t="s">
        <v>161</v>
      </c>
      <c r="H26" s="1" t="s">
        <v>162</v>
      </c>
      <c r="I26" t="s">
        <v>163</v>
      </c>
      <c r="J26" s="1" t="s">
        <v>61</v>
      </c>
    </row>
    <row r="27" spans="1:10" x14ac:dyDescent="0.3">
      <c r="A27" s="1" t="s">
        <v>11</v>
      </c>
      <c r="B27" s="1">
        <v>28312</v>
      </c>
      <c r="C27" s="1" t="s">
        <v>59</v>
      </c>
      <c r="D27" t="s">
        <v>13</v>
      </c>
      <c r="E27" s="1" t="s">
        <v>13</v>
      </c>
      <c r="F27" s="1" t="s">
        <v>12</v>
      </c>
      <c r="G27" s="1" t="s">
        <v>13</v>
      </c>
      <c r="H27" s="1" t="s">
        <v>13</v>
      </c>
      <c r="I27" t="s">
        <v>60</v>
      </c>
      <c r="J27" s="1" t="s">
        <v>61</v>
      </c>
    </row>
    <row r="28" spans="1:10" x14ac:dyDescent="0.3">
      <c r="A28" s="1" t="s">
        <v>11</v>
      </c>
      <c r="B28" s="1">
        <v>34458</v>
      </c>
      <c r="C28" s="1" t="s">
        <v>164</v>
      </c>
      <c r="D28" t="s">
        <v>165</v>
      </c>
      <c r="E28" s="1" t="s">
        <v>13</v>
      </c>
      <c r="F28" s="1" t="s">
        <v>12</v>
      </c>
      <c r="G28" s="1" t="s">
        <v>166</v>
      </c>
      <c r="H28" s="1" t="s">
        <v>167</v>
      </c>
      <c r="I28" t="s">
        <v>168</v>
      </c>
      <c r="J28" s="1" t="s">
        <v>61</v>
      </c>
    </row>
    <row r="29" spans="1:10" x14ac:dyDescent="0.3">
      <c r="A29" s="1" t="s">
        <v>11</v>
      </c>
      <c r="B29" s="1">
        <v>34152</v>
      </c>
      <c r="C29" s="1" t="s">
        <v>76</v>
      </c>
      <c r="D29" t="s">
        <v>169</v>
      </c>
      <c r="E29" s="1" t="s">
        <v>13</v>
      </c>
      <c r="F29" s="1" t="s">
        <v>12</v>
      </c>
      <c r="G29" s="1" t="s">
        <v>170</v>
      </c>
      <c r="H29" s="1" t="s">
        <v>171</v>
      </c>
      <c r="I29" t="s">
        <v>80</v>
      </c>
      <c r="J29" s="1" t="s">
        <v>61</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6664E-26B8-40D7-B6FE-02A94F52FCC4}">
  <sheetPr codeName="Feuil2"/>
  <dimension ref="A1:C46"/>
  <sheetViews>
    <sheetView workbookViewId="0">
      <selection activeCell="C2" sqref="C2"/>
    </sheetView>
  </sheetViews>
  <sheetFormatPr baseColWidth="10" defaultRowHeight="18.75" x14ac:dyDescent="0.3"/>
  <cols>
    <col min="2" max="2" width="98.69921875" customWidth="1"/>
    <col min="3" max="3" width="28.09765625" customWidth="1"/>
  </cols>
  <sheetData>
    <row r="1" spans="1:3" x14ac:dyDescent="0.3">
      <c r="B1" t="s">
        <v>15</v>
      </c>
      <c r="C1" t="s">
        <v>34</v>
      </c>
    </row>
    <row r="2" spans="1:3" x14ac:dyDescent="0.3">
      <c r="A2">
        <v>28310</v>
      </c>
      <c r="B2" t="s">
        <v>16</v>
      </c>
      <c r="C2" t="e">
        <f>SEARCH("ERROR",B2,1)</f>
        <v>#VALUE!</v>
      </c>
    </row>
    <row r="3" spans="1:3" x14ac:dyDescent="0.3">
      <c r="A3">
        <v>34078</v>
      </c>
      <c r="B3" t="s">
        <v>17</v>
      </c>
      <c r="C3" t="e">
        <f t="shared" ref="C3:C46" si="0">SEARCH("ERROR",B3,1)</f>
        <v>#VALUE!</v>
      </c>
    </row>
    <row r="4" spans="1:3" x14ac:dyDescent="0.3">
      <c r="A4">
        <v>28292</v>
      </c>
      <c r="B4" t="s">
        <v>18</v>
      </c>
      <c r="C4" t="e">
        <f t="shared" si="0"/>
        <v>#VALUE!</v>
      </c>
    </row>
    <row r="5" spans="1:3" x14ac:dyDescent="0.3">
      <c r="A5">
        <v>34372</v>
      </c>
      <c r="B5" t="s">
        <v>19</v>
      </c>
      <c r="C5" t="e">
        <f t="shared" si="0"/>
        <v>#VALUE!</v>
      </c>
    </row>
    <row r="6" spans="1:3" x14ac:dyDescent="0.3">
      <c r="A6">
        <v>21005</v>
      </c>
      <c r="B6" t="s">
        <v>20</v>
      </c>
      <c r="C6" t="e">
        <f t="shared" si="0"/>
        <v>#VALUE!</v>
      </c>
    </row>
    <row r="7" spans="1:3" x14ac:dyDescent="0.3">
      <c r="A7">
        <v>34148</v>
      </c>
      <c r="B7" t="s">
        <v>40</v>
      </c>
      <c r="C7">
        <f t="shared" si="0"/>
        <v>13</v>
      </c>
    </row>
    <row r="8" spans="1:3" x14ac:dyDescent="0.3">
      <c r="A8">
        <v>34164</v>
      </c>
      <c r="B8" t="s">
        <v>41</v>
      </c>
      <c r="C8" t="e">
        <f t="shared" si="0"/>
        <v>#VALUE!</v>
      </c>
    </row>
    <row r="9" spans="1:3" x14ac:dyDescent="0.3">
      <c r="A9">
        <v>34388</v>
      </c>
      <c r="B9" t="s">
        <v>21</v>
      </c>
      <c r="C9" t="e">
        <f t="shared" si="0"/>
        <v>#VALUE!</v>
      </c>
    </row>
    <row r="10" spans="1:3" x14ac:dyDescent="0.3">
      <c r="A10">
        <v>21100</v>
      </c>
      <c r="B10" t="s">
        <v>42</v>
      </c>
      <c r="C10">
        <f t="shared" si="0"/>
        <v>10</v>
      </c>
    </row>
    <row r="11" spans="1:3" x14ac:dyDescent="0.3">
      <c r="A11">
        <v>21283</v>
      </c>
      <c r="B11" t="s">
        <v>43</v>
      </c>
      <c r="C11" t="e">
        <f t="shared" si="0"/>
        <v>#VALUE!</v>
      </c>
    </row>
    <row r="12" spans="1:3" x14ac:dyDescent="0.3">
      <c r="A12">
        <v>34508</v>
      </c>
      <c r="B12" t="s">
        <v>44</v>
      </c>
      <c r="C12" t="e">
        <f t="shared" si="0"/>
        <v>#VALUE!</v>
      </c>
    </row>
    <row r="13" spans="1:3" x14ac:dyDescent="0.3">
      <c r="A13">
        <v>28296</v>
      </c>
      <c r="B13" t="s">
        <v>45</v>
      </c>
      <c r="C13" t="e">
        <f t="shared" si="0"/>
        <v>#VALUE!</v>
      </c>
    </row>
    <row r="14" spans="1:3" x14ac:dyDescent="0.3">
      <c r="A14">
        <v>34445</v>
      </c>
      <c r="B14" t="s">
        <v>46</v>
      </c>
      <c r="C14" t="e">
        <f t="shared" si="0"/>
        <v>#VALUE!</v>
      </c>
    </row>
    <row r="15" spans="1:3" x14ac:dyDescent="0.3">
      <c r="A15">
        <v>34517</v>
      </c>
      <c r="B15" t="s">
        <v>47</v>
      </c>
      <c r="C15" t="e">
        <f t="shared" si="0"/>
        <v>#VALUE!</v>
      </c>
    </row>
    <row r="16" spans="1:3" x14ac:dyDescent="0.3">
      <c r="A16">
        <v>24374</v>
      </c>
      <c r="B16" t="s">
        <v>22</v>
      </c>
      <c r="C16" t="e">
        <f t="shared" si="0"/>
        <v>#VALUE!</v>
      </c>
    </row>
    <row r="17" spans="1:3" x14ac:dyDescent="0.3">
      <c r="A17">
        <v>20864</v>
      </c>
      <c r="B17" t="s">
        <v>35</v>
      </c>
      <c r="C17" t="e">
        <f t="shared" si="0"/>
        <v>#VALUE!</v>
      </c>
    </row>
    <row r="18" spans="1:3" x14ac:dyDescent="0.3">
      <c r="A18">
        <v>34391</v>
      </c>
      <c r="B18" t="s">
        <v>23</v>
      </c>
      <c r="C18" t="e">
        <f t="shared" si="0"/>
        <v>#VALUE!</v>
      </c>
    </row>
    <row r="19" spans="1:3" x14ac:dyDescent="0.3">
      <c r="A19">
        <v>20851</v>
      </c>
      <c r="B19" t="s">
        <v>48</v>
      </c>
      <c r="C19" t="e">
        <f t="shared" si="0"/>
        <v>#VALUE!</v>
      </c>
    </row>
    <row r="20" spans="1:3" x14ac:dyDescent="0.3">
      <c r="A20">
        <v>34403</v>
      </c>
      <c r="B20" t="s">
        <v>49</v>
      </c>
      <c r="C20">
        <f t="shared" si="0"/>
        <v>15</v>
      </c>
    </row>
    <row r="21" spans="1:3" x14ac:dyDescent="0.3">
      <c r="A21">
        <v>34397</v>
      </c>
      <c r="B21" t="s">
        <v>36</v>
      </c>
      <c r="C21" t="e">
        <f t="shared" si="0"/>
        <v>#VALUE!</v>
      </c>
    </row>
    <row r="22" spans="1:3" x14ac:dyDescent="0.3">
      <c r="A22">
        <v>34407</v>
      </c>
      <c r="B22" t="s">
        <v>35</v>
      </c>
      <c r="C22" t="e">
        <f t="shared" si="0"/>
        <v>#VALUE!</v>
      </c>
    </row>
    <row r="23" spans="1:3" x14ac:dyDescent="0.3">
      <c r="A23">
        <v>34412</v>
      </c>
      <c r="B23" t="s">
        <v>24</v>
      </c>
      <c r="C23" t="e">
        <f t="shared" si="0"/>
        <v>#VALUE!</v>
      </c>
    </row>
    <row r="24" spans="1:3" x14ac:dyDescent="0.3">
      <c r="A24">
        <v>34416</v>
      </c>
      <c r="B24" t="s">
        <v>24</v>
      </c>
      <c r="C24" t="e">
        <f t="shared" si="0"/>
        <v>#VALUE!</v>
      </c>
    </row>
    <row r="25" spans="1:3" x14ac:dyDescent="0.3">
      <c r="A25">
        <v>34419</v>
      </c>
      <c r="B25" t="s">
        <v>25</v>
      </c>
      <c r="C25" t="e">
        <f t="shared" si="0"/>
        <v>#VALUE!</v>
      </c>
    </row>
    <row r="26" spans="1:3" x14ac:dyDescent="0.3">
      <c r="A26">
        <v>34422</v>
      </c>
      <c r="B26" t="s">
        <v>26</v>
      </c>
      <c r="C26" t="e">
        <f t="shared" si="0"/>
        <v>#VALUE!</v>
      </c>
    </row>
    <row r="27" spans="1:3" x14ac:dyDescent="0.3">
      <c r="A27">
        <v>34430</v>
      </c>
      <c r="B27" t="s">
        <v>27</v>
      </c>
      <c r="C27" t="e">
        <f t="shared" si="0"/>
        <v>#VALUE!</v>
      </c>
    </row>
    <row r="28" spans="1:3" x14ac:dyDescent="0.3">
      <c r="A28">
        <v>21287</v>
      </c>
      <c r="B28" t="s">
        <v>27</v>
      </c>
      <c r="C28" t="e">
        <f t="shared" si="0"/>
        <v>#VALUE!</v>
      </c>
    </row>
    <row r="29" spans="1:3" x14ac:dyDescent="0.3">
      <c r="A29">
        <v>21340</v>
      </c>
      <c r="B29" t="s">
        <v>28</v>
      </c>
      <c r="C29" t="e">
        <f t="shared" si="0"/>
        <v>#VALUE!</v>
      </c>
    </row>
    <row r="30" spans="1:3" x14ac:dyDescent="0.3">
      <c r="A30">
        <v>20906</v>
      </c>
      <c r="B30" t="s">
        <v>29</v>
      </c>
      <c r="C30" t="e">
        <f t="shared" si="0"/>
        <v>#VALUE!</v>
      </c>
    </row>
    <row r="31" spans="1:3" x14ac:dyDescent="0.3">
      <c r="A31">
        <v>20912</v>
      </c>
      <c r="B31" t="s">
        <v>37</v>
      </c>
      <c r="C31" t="e">
        <f t="shared" si="0"/>
        <v>#VALUE!</v>
      </c>
    </row>
    <row r="32" spans="1:3" x14ac:dyDescent="0.3">
      <c r="A32">
        <v>21310</v>
      </c>
      <c r="B32" t="s">
        <v>30</v>
      </c>
      <c r="C32" t="e">
        <f t="shared" si="0"/>
        <v>#VALUE!</v>
      </c>
    </row>
    <row r="33" spans="1:3" x14ac:dyDescent="0.3">
      <c r="A33">
        <v>24335</v>
      </c>
      <c r="B33" t="s">
        <v>38</v>
      </c>
      <c r="C33" t="e">
        <f t="shared" si="0"/>
        <v>#VALUE!</v>
      </c>
    </row>
    <row r="34" spans="1:3" x14ac:dyDescent="0.3">
      <c r="A34">
        <v>27076</v>
      </c>
      <c r="B34" t="s">
        <v>31</v>
      </c>
      <c r="C34" t="e">
        <f t="shared" si="0"/>
        <v>#VALUE!</v>
      </c>
    </row>
    <row r="35" spans="1:3" x14ac:dyDescent="0.3">
      <c r="A35">
        <v>24336</v>
      </c>
      <c r="B35" t="s">
        <v>39</v>
      </c>
      <c r="C35" t="e">
        <f t="shared" si="0"/>
        <v>#VALUE!</v>
      </c>
    </row>
    <row r="36" spans="1:3" x14ac:dyDescent="0.3">
      <c r="A36">
        <v>23726</v>
      </c>
      <c r="B36" t="s">
        <v>50</v>
      </c>
      <c r="C36" t="e">
        <f t="shared" si="0"/>
        <v>#VALUE!</v>
      </c>
    </row>
    <row r="37" spans="1:3" x14ac:dyDescent="0.3">
      <c r="A37">
        <v>20971</v>
      </c>
      <c r="B37" t="s">
        <v>51</v>
      </c>
      <c r="C37" t="e">
        <f t="shared" si="0"/>
        <v>#VALUE!</v>
      </c>
    </row>
    <row r="38" spans="1:3" x14ac:dyDescent="0.3">
      <c r="A38">
        <v>20973</v>
      </c>
      <c r="B38" t="s">
        <v>52</v>
      </c>
      <c r="C38" t="e">
        <f t="shared" si="0"/>
        <v>#VALUE!</v>
      </c>
    </row>
    <row r="39" spans="1:3" x14ac:dyDescent="0.3">
      <c r="A39">
        <v>20975</v>
      </c>
      <c r="B39" t="s">
        <v>53</v>
      </c>
      <c r="C39" t="e">
        <f t="shared" si="0"/>
        <v>#VALUE!</v>
      </c>
    </row>
    <row r="40" spans="1:3" x14ac:dyDescent="0.3">
      <c r="A40">
        <v>21377</v>
      </c>
      <c r="B40" t="s">
        <v>54</v>
      </c>
      <c r="C40" t="e">
        <f t="shared" si="0"/>
        <v>#VALUE!</v>
      </c>
    </row>
    <row r="41" spans="1:3" x14ac:dyDescent="0.3">
      <c r="A41">
        <v>21439</v>
      </c>
      <c r="B41" t="s">
        <v>55</v>
      </c>
      <c r="C41" t="e">
        <f t="shared" si="0"/>
        <v>#VALUE!</v>
      </c>
    </row>
    <row r="42" spans="1:3" x14ac:dyDescent="0.3">
      <c r="A42">
        <v>28312</v>
      </c>
      <c r="B42" t="s">
        <v>21</v>
      </c>
      <c r="C42" t="e">
        <f t="shared" si="0"/>
        <v>#VALUE!</v>
      </c>
    </row>
    <row r="43" spans="1:3" x14ac:dyDescent="0.3">
      <c r="A43">
        <v>20448</v>
      </c>
      <c r="B43" t="s">
        <v>32</v>
      </c>
      <c r="C43" t="e">
        <f t="shared" si="0"/>
        <v>#VALUE!</v>
      </c>
    </row>
    <row r="44" spans="1:3" x14ac:dyDescent="0.3">
      <c r="A44">
        <v>34450</v>
      </c>
      <c r="B44" t="s">
        <v>33</v>
      </c>
      <c r="C44" t="e">
        <f t="shared" si="0"/>
        <v>#VALUE!</v>
      </c>
    </row>
    <row r="45" spans="1:3" x14ac:dyDescent="0.3">
      <c r="A45">
        <v>34454</v>
      </c>
      <c r="B45" t="s">
        <v>18</v>
      </c>
      <c r="C45" t="e">
        <f t="shared" si="0"/>
        <v>#VALUE!</v>
      </c>
    </row>
    <row r="46" spans="1:3" x14ac:dyDescent="0.3">
      <c r="A46">
        <v>34458</v>
      </c>
      <c r="C46" t="e">
        <f t="shared" si="0"/>
        <v>#VALUE!</v>
      </c>
    </row>
  </sheetData>
  <autoFilter ref="A1:C46" xr:uid="{8A96664E-26B8-40D7-B6FE-02A94F52FC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AC5A826F3A53843A4B9050954288F45" ma:contentTypeVersion="17" ma:contentTypeDescription="Crée un document." ma:contentTypeScope="" ma:versionID="16b221eb325064bce5b6ad6161e68dbe">
  <xsd:schema xmlns:xsd="http://www.w3.org/2001/XMLSchema" xmlns:xs="http://www.w3.org/2001/XMLSchema" xmlns:p="http://schemas.microsoft.com/office/2006/metadata/properties" xmlns:ns1="http://schemas.microsoft.com/sharepoint/v3" xmlns:ns2="cde0bfa2-1cb2-433b-918c-fe405be5060c" xmlns:ns3="e6cbc500-0652-4461-9394-87dd99450f5e" targetNamespace="http://schemas.microsoft.com/office/2006/metadata/properties" ma:root="true" ma:fieldsID="707e47f246318e22ace0f41ff1f379d5" ns1:_="" ns2:_="" ns3:_="">
    <xsd:import namespace="http://schemas.microsoft.com/sharepoint/v3"/>
    <xsd:import namespace="cde0bfa2-1cb2-433b-918c-fe405be5060c"/>
    <xsd:import namespace="e6cbc500-0652-4461-9394-87dd99450f5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Propriétés de la stratégie de conformité unifiée" ma:hidden="true" ma:internalName="_ip_UnifiedCompliancePolicyProperties">
      <xsd:simpleType>
        <xsd:restriction base="dms:Note"/>
      </xsd:simpleType>
    </xsd:element>
    <xsd:element name="_ip_UnifiedCompliancePolicyUIAction" ma:index="24" nillable="true" ma:displayName="Action d’interface utilisateur de la stratégie de conformité unifiée"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e0bfa2-1cb2-433b-918c-fe405be506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c4480557-28ee-4200-b705-f4b4ceb9c11a"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6cbc500-0652-4461-9394-87dd99450f5e" elementFormDefault="qualified">
    <xsd:import namespace="http://schemas.microsoft.com/office/2006/documentManagement/types"/>
    <xsd:import namespace="http://schemas.microsoft.com/office/infopath/2007/PartnerControls"/>
    <xsd:element name="SharedWithUsers" ma:index="16"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2caf5316-3bbd-4a67-b42f-96448ac36100}" ma:internalName="TaxCatchAll" ma:showField="CatchAllData" ma:web="e6cbc500-0652-4461-9394-87dd99450f5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de0bfa2-1cb2-433b-918c-fe405be5060c">
      <Terms xmlns="http://schemas.microsoft.com/office/infopath/2007/PartnerControls"/>
    </lcf76f155ced4ddcb4097134ff3c332f>
    <_ip_UnifiedCompliancePolicyProperties xmlns="http://schemas.microsoft.com/sharepoint/v3" xsi:nil="true"/>
    <TaxCatchAll xmlns="e6cbc500-0652-4461-9394-87dd99450f5e" xsi:nil="true"/>
  </documentManagement>
</p:properties>
</file>

<file path=customXml/item4.xml>�� 
</file>

<file path=customXml/itemProps1.xml><?xml version="1.0" encoding="utf-8"?>
<ds:datastoreItem xmlns:ds="http://schemas.openxmlformats.org/officeDocument/2006/customXml" ds:itemID="{56322585-479F-430E-9234-F84B5E04278B}">
  <ds:schemaRefs>
    <ds:schemaRef ds:uri="http://schemas.microsoft.com/sharepoint/v3/contenttype/forms"/>
  </ds:schemaRefs>
</ds:datastoreItem>
</file>

<file path=customXml/itemProps2.xml><?xml version="1.0" encoding="utf-8"?>
<ds:datastoreItem xmlns:ds="http://schemas.openxmlformats.org/officeDocument/2006/customXml" ds:itemID="{434E4C88-9861-412C-B207-6293D91CC5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de0bfa2-1cb2-433b-918c-fe405be5060c"/>
    <ds:schemaRef ds:uri="e6cbc500-0652-4461-9394-87dd99450f5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C0C3279-68A0-480A-898A-7A6EAC954DCC}">
  <ds:schemaRefs>
    <ds:schemaRef ds:uri="http://schemas.microsoft.com/office/2006/metadata/properties"/>
    <ds:schemaRef ds:uri="http://schemas.microsoft.com/office/infopath/2007/PartnerControls"/>
    <ds:schemaRef ds:uri="http://schemas.microsoft.com/sharepoint/v3"/>
    <ds:schemaRef ds:uri="cde0bfa2-1cb2-433b-918c-fe405be5060c"/>
    <ds:schemaRef ds:uri="e6cbc500-0652-4461-9394-87dd99450f5e"/>
  </ds:schemaRefs>
</ds:datastoreItem>
</file>

<file path=customXml/itemProps4.xml><?xml version="1.0" encoding="utf-8"?>
<ds:datastoreItem xmlns:ds="http://schemas.openxmlformats.org/officeDocument/2006/customXml" ds:itemID="{76A78F98-B8DA-453C-B8F4-9F440C7A01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MAIN</vt:lpstr>
      <vt:lpstr>errors</vt:lpstr>
      <vt:lpstr>input_data</vt:lpstr>
      <vt:lpstr>errors2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 RENIER</dc:creator>
  <cp:lastModifiedBy>Julien RENIER</cp:lastModifiedBy>
  <dcterms:created xsi:type="dcterms:W3CDTF">2023-02-08T08:27:49Z</dcterms:created>
  <dcterms:modified xsi:type="dcterms:W3CDTF">2023-02-24T10:38:02Z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0x0101009AC5A826F3A53843A4B9050954288F45</vt:lpwstr>
  </property>
</Properties>
</file>